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ong_quan" sheetId="1" state="visible" r:id="rId1"/>
    <sheet xmlns:r="http://schemas.openxmlformats.org/officeDocument/2006/relationships" name="01_Dashboard" sheetId="2" state="visible" r:id="rId2"/>
    <sheet xmlns:r="http://schemas.openxmlformats.org/officeDocument/2006/relationships" name="02_Nghiep_vu" sheetId="3" state="visible" r:id="rId3"/>
    <sheet xmlns:r="http://schemas.openxmlformats.org/officeDocument/2006/relationships" name="03_Actor" sheetId="4" state="visible" r:id="rId4"/>
    <sheet xmlns:r="http://schemas.openxmlformats.org/officeDocument/2006/relationships" name="04_Checklist_UC" sheetId="5" state="visible" r:id="rId5"/>
    <sheet xmlns:r="http://schemas.openxmlformats.org/officeDocument/2006/relationships" name="05_Dac_ta_UC" sheetId="6" state="visible" r:id="rId6"/>
    <sheet xmlns:r="http://schemas.openxmlformats.org/officeDocument/2006/relationships" name="06_Business_Rules" sheetId="7" state="visible" r:id="rId7"/>
    <sheet xmlns:r="http://schemas.openxmlformats.org/officeDocument/2006/relationships" name="07_Workflow" sheetId="8" state="visible" r:id="rId8"/>
    <sheet xmlns:r="http://schemas.openxmlformats.org/officeDocument/2006/relationships" name="08_Quy_trinh" sheetId="9" state="visible" r:id="rId9"/>
    <sheet xmlns:r="http://schemas.openxmlformats.org/officeDocument/2006/relationships" name="09_Thuat_toan_lich" sheetId="10" state="visible" r:id="rId10"/>
    <sheet xmlns:r="http://schemas.openxmlformats.org/officeDocument/2006/relationships" name="10_Sidebar" sheetId="11" state="visible" r:id="rId11"/>
    <sheet xmlns:r="http://schemas.openxmlformats.org/officeDocument/2006/relationships" name="11_Man_hinh" sheetId="12" state="visible" r:id="rId12"/>
    <sheet xmlns:r="http://schemas.openxmlformats.org/officeDocument/2006/relationships" name="12_API_Endpoints" sheetId="13" state="visible" r:id="rId13"/>
    <sheet xmlns:r="http://schemas.openxmlformats.org/officeDocument/2006/relationships" name="13_API_Mau" sheetId="14" state="visible" r:id="rId14"/>
    <sheet xmlns:r="http://schemas.openxmlformats.org/officeDocument/2006/relationships" name="14_AI_Tools" sheetId="15" state="visible" r:id="rId15"/>
    <sheet xmlns:r="http://schemas.openxmlformats.org/officeDocument/2006/relationships" name="15_Mapping_UC" sheetId="16" state="visible" r:id="rId16"/>
    <sheet xmlns:r="http://schemas.openxmlformats.org/officeDocument/2006/relationships" name="16_Mapping_Man_hinh" sheetId="17" state="visible" r:id="rId17"/>
    <sheet xmlns:r="http://schemas.openxmlformats.org/officeDocument/2006/relationships" name="17_DB_Bang" sheetId="18" state="visible" r:id="rId18"/>
    <sheet xmlns:r="http://schemas.openxmlformats.org/officeDocument/2006/relationships" name="18_DB_Cot" sheetId="19" state="visible" r:id="rId19"/>
    <sheet xmlns:r="http://schemas.openxmlformats.org/officeDocument/2006/relationships" name="19_DB_FK" sheetId="20" state="visible" r:id="rId20"/>
    <sheet xmlns:r="http://schemas.openxmlformats.org/officeDocument/2006/relationships" name="20_Enum" sheetId="21" state="visible" r:id="rId21"/>
    <sheet xmlns:r="http://schemas.openxmlformats.org/officeDocument/2006/relationships" name="21_Phan_quyen" sheetId="22" state="visible" r:id="rId22"/>
    <sheet xmlns:r="http://schemas.openxmlformats.org/officeDocument/2006/relationships" name="22_Loi_API" sheetId="23" state="visible" r:id="rId23"/>
    <sheet xmlns:r="http://schemas.openxmlformats.org/officeDocument/2006/relationships" name="23_UAT" sheetId="24" state="visible" r:id="rId24"/>
    <sheet xmlns:r="http://schemas.openxmlformats.org/officeDocument/2006/relationships" name="24_Quy_uoc_API" sheetId="25" state="visible" r:id="rId25"/>
    <sheet xmlns:r="http://schemas.openxmlformats.org/officeDocument/2006/relationships" name="25_Ke_hoach" sheetId="26" state="visible" r:id="rId26"/>
    <sheet xmlns:r="http://schemas.openxmlformats.org/officeDocument/2006/relationships" name="26_Ra_soat_DA" sheetId="27" state="visible" r:id="rId27"/>
    <sheet xmlns:r="http://schemas.openxmlformats.org/officeDocument/2006/relationships" name="27_Truy_vet_MT" sheetId="28" state="visible" r:id="rId28"/>
  </sheets>
  <definedNames>
    <definedName name="_xlnm._FilterDatabase" localSheetId="2" hidden="1">'02_Nghiep_vu'!$A$4:$H$16</definedName>
    <definedName name="_xlnm._FilterDatabase" localSheetId="3" hidden="1">'03_Actor'!$A$4:$F$12</definedName>
    <definedName name="_xlnm._FilterDatabase" localSheetId="4" hidden="1">'04_Checklist_UC'!$A$4:$S$38</definedName>
    <definedName name="_xlnm._FilterDatabase" localSheetId="5" hidden="1">'05_Dac_ta_UC'!$A$4:$M$38</definedName>
    <definedName name="_xlnm._FilterDatabase" localSheetId="6" hidden="1">'06_Business_Rules'!$A$4:$G$49</definedName>
    <definedName name="_xlnm._FilterDatabase" localSheetId="7" hidden="1">'07_Workflow'!$A$4:$H$40</definedName>
    <definedName name="_xlnm._FilterDatabase" localSheetId="8" hidden="1">'08_Quy_trinh'!$A$4:$F$10</definedName>
    <definedName name="_xlnm._FilterDatabase" localSheetId="9" hidden="1">'09_Thuat_toan_lich'!$A$4:$D$16</definedName>
    <definedName name="_xlnm._FilterDatabase" localSheetId="10" hidden="1">'10_Sidebar'!$A$4:$F$31</definedName>
    <definedName name="_xlnm._FilterDatabase" localSheetId="11" hidden="1">'11_Man_hinh'!$A$4:$P$76</definedName>
    <definedName name="_xlnm._FilterDatabase" localSheetId="12" hidden="1">'12_API_Endpoints'!$A$4:$O$120</definedName>
    <definedName name="_xlnm._FilterDatabase" localSheetId="13" hidden="1">'13_API_Mau'!$A$4:$E$13</definedName>
    <definedName name="_xlnm._FilterDatabase" localSheetId="14" hidden="1">'14_AI_Tools'!$A$4:$F$9</definedName>
    <definedName name="_xlnm._FilterDatabase" localSheetId="15" hidden="1">'15_Mapping_UC'!$A$4:$L$38</definedName>
    <definedName name="_xlnm._FilterDatabase" localSheetId="16" hidden="1">'16_Mapping_Man_hinh'!$A$4:$I$76</definedName>
    <definedName name="_xlnm._FilterDatabase" localSheetId="17" hidden="1">'17_DB_Bang'!$A$4:$H$33</definedName>
    <definedName name="_xlnm._FilterDatabase" localSheetId="18" hidden="1">'18_DB_Cot'!$A$4:$H$232</definedName>
    <definedName name="_xlnm._FilterDatabase" localSheetId="19" hidden="1">'19_DB_FK'!$A$4:$G$46</definedName>
    <definedName name="_xlnm._FilterDatabase" localSheetId="20" hidden="1">'20_Enum'!$A$4:$D$23</definedName>
    <definedName name="_xlnm._FilterDatabase" localSheetId="21" hidden="1">'21_Phan_quyen'!$A$4:$G$26</definedName>
    <definedName name="_xlnm._FilterDatabase" localSheetId="22" hidden="1">'22_Loi_API'!$A$4:$E$27</definedName>
    <definedName name="_xlnm._FilterDatabase" localSheetId="23" hidden="1">'23_UAT'!$A$4:$H$32</definedName>
    <definedName name="_xlnm._FilterDatabase" localSheetId="24" hidden="1">'24_Quy_uoc_API'!$A$4:$C$18</definedName>
    <definedName name="_xlnm._FilterDatabase" localSheetId="25" hidden="1">'25_Ke_hoach'!$A$4:$G$14</definedName>
    <definedName name="_xlnm._FilterDatabase" localSheetId="26" hidden="1">'26_Ra_soat_DA'!$A$4:$G$29</definedName>
    <definedName name="_xlnm._FilterDatabase" localSheetId="27" hidden="1">'27_Truy_vet_MT'!$A$4:$E$10</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4"/>
    </font>
    <font>
      <name val="Calibri"/>
      <color rgb="00193147"/>
      <sz val="10"/>
    </font>
    <font>
      <name val="Calibri"/>
      <i val="1"/>
      <color rgb="004A5D6E"/>
      <sz val="9"/>
    </font>
    <font>
      <name val="Calibri"/>
      <b val="1"/>
      <color rgb="00FFFFFF"/>
      <sz val="10"/>
    </font>
    <font>
      <name val="Calibri"/>
      <b val="1"/>
    </font>
    <font>
      <name val="Calibri"/>
      <b val="1"/>
      <color rgb="00FFFFFF"/>
    </font>
    <font>
      <name val="Calibri"/>
      <color rgb="000563C1"/>
      <u val="single"/>
    </font>
    <font>
      <name val="Calibri"/>
      <sz val="10"/>
    </font>
    <font>
      <name val="Calibri"/>
      <b val="1"/>
      <color rgb="00FFFFFF"/>
      <sz val="16"/>
    </font>
    <font>
      <name val="Calibri"/>
      <i val="1"/>
      <color rgb="004A5D6E"/>
    </font>
    <font>
      <name val="Calibri"/>
      <b val="1"/>
      <color rgb="00193147"/>
      <sz val="9"/>
    </font>
    <font>
      <name val="Calibri"/>
      <b val="1"/>
      <color rgb="00134D75"/>
      <sz val="18"/>
    </font>
    <font>
      <name val="Calibri"/>
      <b val="1"/>
      <color rgb="00134D75"/>
      <sz val="12"/>
    </font>
    <font>
      <name val="Calibri"/>
      <i val="1"/>
      <sz val="9"/>
    </font>
  </fonts>
  <fills count="7">
    <fill>
      <patternFill/>
    </fill>
    <fill>
      <patternFill patternType="gray125"/>
    </fill>
    <fill>
      <patternFill patternType="solid">
        <fgColor rgb="00134D75"/>
      </patternFill>
    </fill>
    <fill>
      <patternFill patternType="solid">
        <fgColor rgb="00EAF2F8"/>
      </patternFill>
    </fill>
    <fill>
      <patternFill patternType="solid">
        <fgColor rgb="002E6F95"/>
      </patternFill>
    </fill>
    <fill>
      <patternFill patternType="solid">
        <fgColor rgb="00F7FAFC"/>
      </patternFill>
    </fill>
    <fill>
      <patternFill patternType="solid">
        <fgColor rgb="00F0F4F6"/>
      </patternFill>
    </fill>
  </fills>
  <borders count="2">
    <border>
      <left/>
      <right/>
      <top/>
      <bottom/>
      <diagonal/>
    </border>
    <border>
      <left style="thin">
        <color rgb="00C9D6E0"/>
      </left>
      <right style="thin">
        <color rgb="00C9D6E0"/>
      </right>
      <top style="thin">
        <color rgb="00C9D6E0"/>
      </top>
      <bottom style="thin">
        <color rgb="00C9D6E0"/>
      </bottom>
    </border>
  </borders>
  <cellStyleXfs count="1">
    <xf numFmtId="0" fontId="0" fillId="0" borderId="0"/>
  </cellStyleXfs>
  <cellXfs count="3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3" borderId="0" applyAlignment="1" pivotButton="0" quotePrefix="0" xfId="0">
      <alignment vertical="center" wrapText="1"/>
    </xf>
    <xf numFmtId="0" fontId="4" fillId="4" borderId="1" applyAlignment="1" pivotButton="0" quotePrefix="0" xfId="0">
      <alignment horizontal="center" vertical="top" wrapText="1"/>
    </xf>
    <xf numFmtId="0" fontId="5" fillId="0" borderId="1" applyAlignment="1" pivotButton="0" quotePrefix="0" xfId="0">
      <alignment vertical="top" wrapText="1"/>
    </xf>
    <xf numFmtId="0" fontId="0" fillId="0" borderId="1" applyAlignment="1" pivotButton="0" quotePrefix="0" xfId="0">
      <alignment vertical="top" wrapText="1"/>
    </xf>
    <xf numFmtId="0" fontId="6" fillId="4" borderId="0" pivotButton="0" quotePrefix="0" xfId="0"/>
    <xf numFmtId="0" fontId="0" fillId="0" borderId="1" applyAlignment="1" pivotButton="0" quotePrefix="0" xfId="0">
      <alignment horizontal="left"/>
    </xf>
    <xf numFmtId="0" fontId="7" fillId="0" borderId="1" pivotButton="0" quotePrefix="0" xfId="0"/>
    <xf numFmtId="0" fontId="9" fillId="2" borderId="0" pivotButton="0" quotePrefix="0" xfId="0"/>
    <xf numFmtId="0" fontId="10" fillId="0" borderId="0" pivotButton="0" quotePrefix="0" xfId="0"/>
    <xf numFmtId="0" fontId="11" fillId="6" borderId="1" applyAlignment="1" pivotButton="0" quotePrefix="0" xfId="0">
      <alignment horizontal="center" vertical="top" wrapText="1"/>
    </xf>
    <xf numFmtId="1" fontId="12" fillId="0" borderId="1" applyAlignment="1" pivotButton="0" quotePrefix="0" xfId="0">
      <alignment horizontal="center"/>
    </xf>
    <xf numFmtId="9" fontId="12" fillId="0" borderId="1" applyAlignment="1" pivotButton="0" quotePrefix="0" xfId="0">
      <alignment horizontal="center"/>
    </xf>
    <xf numFmtId="0" fontId="13" fillId="0" borderId="0" pivotButton="0" quotePrefix="0" xfId="0"/>
    <xf numFmtId="0" fontId="6" fillId="4" borderId="1" applyAlignment="1" pivotButton="0" quotePrefix="0" xfId="0">
      <alignment horizontal="center" vertical="top" wrapText="1"/>
    </xf>
    <xf numFmtId="0" fontId="0" fillId="0" borderId="1" applyAlignment="1" pivotButton="0" quotePrefix="0" xfId="0">
      <alignment horizontal="center" vertical="top" wrapText="1"/>
    </xf>
    <xf numFmtId="9" fontId="0" fillId="0" borderId="1" applyAlignment="1" pivotButton="0" quotePrefix="0" xfId="0">
      <alignment horizontal="center" vertical="top" wrapText="1"/>
    </xf>
    <xf numFmtId="0" fontId="5" fillId="0" borderId="1" pivotButton="0" quotePrefix="0" xfId="0"/>
    <xf numFmtId="0" fontId="14" fillId="0" borderId="1" pivotButton="0" quotePrefix="0" xfId="0"/>
    <xf numFmtId="0" fontId="5" fillId="0" borderId="1" applyAlignment="1" pivotButton="0" quotePrefix="0" xfId="0">
      <alignment horizontal="center" vertical="top" wrapText="1"/>
    </xf>
    <xf numFmtId="9" fontId="5" fillId="0" borderId="1" applyAlignment="1" pivotButton="0" quotePrefix="0" xfId="0">
      <alignment horizontal="center" vertical="top" wrapText="1"/>
    </xf>
    <xf numFmtId="0" fontId="0" fillId="0" borderId="1" pivotButton="0" quotePrefix="0" xfId="0"/>
    <xf numFmtId="0" fontId="8" fillId="0" borderId="1" applyAlignment="1" pivotButton="0" quotePrefix="0" xfId="0">
      <alignment horizontal="center" vertical="top" wrapText="1"/>
    </xf>
    <xf numFmtId="0" fontId="8" fillId="0" borderId="1" applyAlignment="1" pivotButton="0" quotePrefix="0" xfId="0">
      <alignment vertical="top" wrapText="1"/>
    </xf>
    <xf numFmtId="0" fontId="8" fillId="5" borderId="1" applyAlignment="1" pivotButton="0" quotePrefix="0" xfId="0">
      <alignment horizontal="center" vertical="top" wrapText="1"/>
    </xf>
    <xf numFmtId="0" fontId="8" fillId="5" borderId="1" applyAlignment="1" pivotButton="0" quotePrefix="0" xfId="0">
      <alignment vertical="top" wrapText="1"/>
    </xf>
    <xf numFmtId="9" fontId="8" fillId="0" borderId="1" applyAlignment="1" pivotButton="0" quotePrefix="0" xfId="0">
      <alignment horizontal="center" vertical="top" wrapText="1"/>
    </xf>
    <xf numFmtId="9" fontId="8" fillId="5" borderId="1" applyAlignment="1" pivotButton="0" quotePrefix="0" xfId="0">
      <alignment horizontal="center" vertical="top" wrapText="1"/>
    </xf>
  </cellXfs>
  <cellStyles count="1">
    <cellStyle name="Normal" xfId="0" builtinId="0" hidden="0"/>
  </cellStyles>
  <dxfs count="7">
    <dxf>
      <fill>
        <patternFill patternType="solid">
          <fgColor rgb="00C6EFCE"/>
        </patternFill>
      </fill>
    </dxf>
    <dxf>
      <fill>
        <patternFill patternType="solid">
          <fgColor rgb="00DDEBF7"/>
        </patternFill>
      </fill>
    </dxf>
    <dxf>
      <fill>
        <patternFill patternType="solid">
          <fgColor rgb="00FFEB9C"/>
        </patternFill>
      </fill>
    </dxf>
    <dxf>
      <fill>
        <patternFill patternType="solid">
          <fgColor rgb="00F8CBAD"/>
        </patternFill>
      </fill>
    </dxf>
    <dxf>
      <fill>
        <patternFill patternType="solid">
          <fgColor rgb="00EDEDED"/>
        </patternFill>
      </fill>
    </dxf>
    <dxf>
      <font>
        <b val="1"/>
        <color rgb="00C00000"/>
      </font>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Số UC theo nghiệp vụ</a:t>
            </a:r>
          </a:p>
        </rich>
      </tx>
    </title>
    <plotArea>
      <barChart>
        <barDir val="bar"/>
        <grouping val="clustered"/>
        <ser>
          <idx val="0"/>
          <order val="0"/>
          <tx>
            <strRef>
              <f>'01_Dashboard'!D9</f>
            </strRef>
          </tx>
          <spPr>
            <a:ln xmlns:a="http://schemas.openxmlformats.org/drawingml/2006/main">
              <a:prstDash val="solid"/>
            </a:ln>
          </spPr>
          <cat>
            <numRef>
              <f>'01_Dashboard'!$C$10:$C$21</f>
            </numRef>
          </cat>
          <val>
            <numRef>
              <f>'01_Dashboard'!$D$10:$D$21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0</colOff>
      <row>8</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Dashboard'!A1" TargetMode="External" Id="rId1"/><Relationship Type="http://schemas.openxmlformats.org/officeDocument/2006/relationships/hyperlink" Target="#'02_Nghiep_vu'!A1" TargetMode="External" Id="rId2"/><Relationship Type="http://schemas.openxmlformats.org/officeDocument/2006/relationships/hyperlink" Target="#'03_Actor'!A1" TargetMode="External" Id="rId3"/><Relationship Type="http://schemas.openxmlformats.org/officeDocument/2006/relationships/hyperlink" Target="#'04_Checklist_UC'!A1" TargetMode="External" Id="rId4"/><Relationship Type="http://schemas.openxmlformats.org/officeDocument/2006/relationships/hyperlink" Target="#'05_Dac_ta_UC'!A1" TargetMode="External" Id="rId5"/><Relationship Type="http://schemas.openxmlformats.org/officeDocument/2006/relationships/hyperlink" Target="#'06_Business_Rules'!A1" TargetMode="External" Id="rId6"/><Relationship Type="http://schemas.openxmlformats.org/officeDocument/2006/relationships/hyperlink" Target="#'07_Workflow'!A1" TargetMode="External" Id="rId7"/><Relationship Type="http://schemas.openxmlformats.org/officeDocument/2006/relationships/hyperlink" Target="#'08_Quy_trinh'!A1" TargetMode="External" Id="rId8"/><Relationship Type="http://schemas.openxmlformats.org/officeDocument/2006/relationships/hyperlink" Target="#'09_Thuat_toan_lich'!A1" TargetMode="External" Id="rId9"/><Relationship Type="http://schemas.openxmlformats.org/officeDocument/2006/relationships/hyperlink" Target="#'10_Sidebar'!A1" TargetMode="External" Id="rId10"/><Relationship Type="http://schemas.openxmlformats.org/officeDocument/2006/relationships/hyperlink" Target="#'11_Man_hinh'!A1" TargetMode="External" Id="rId11"/><Relationship Type="http://schemas.openxmlformats.org/officeDocument/2006/relationships/hyperlink" Target="#'12_API_Endpoints'!A1" TargetMode="External" Id="rId12"/><Relationship Type="http://schemas.openxmlformats.org/officeDocument/2006/relationships/hyperlink" Target="#'13_API_Mau'!A1" TargetMode="External" Id="rId13"/><Relationship Type="http://schemas.openxmlformats.org/officeDocument/2006/relationships/hyperlink" Target="#'14_AI_Tools'!A1" TargetMode="External" Id="rId14"/><Relationship Type="http://schemas.openxmlformats.org/officeDocument/2006/relationships/hyperlink" Target="#'15_Mapping_UC'!A1" TargetMode="External" Id="rId15"/><Relationship Type="http://schemas.openxmlformats.org/officeDocument/2006/relationships/hyperlink" Target="#'16_Mapping_Man_hinh'!A1" TargetMode="External" Id="rId16"/><Relationship Type="http://schemas.openxmlformats.org/officeDocument/2006/relationships/hyperlink" Target="#'17_DB_Bang'!A1" TargetMode="External" Id="rId17"/><Relationship Type="http://schemas.openxmlformats.org/officeDocument/2006/relationships/hyperlink" Target="#'18_DB_Cot'!A1" TargetMode="External" Id="rId18"/><Relationship Type="http://schemas.openxmlformats.org/officeDocument/2006/relationships/hyperlink" Target="#'19_DB_FK'!A1" TargetMode="External" Id="rId19"/><Relationship Type="http://schemas.openxmlformats.org/officeDocument/2006/relationships/hyperlink" Target="#'20_Enum'!A1" TargetMode="External" Id="rId20"/><Relationship Type="http://schemas.openxmlformats.org/officeDocument/2006/relationships/hyperlink" Target="#'21_Phan_quyen'!A1" TargetMode="External" Id="rId21"/><Relationship Type="http://schemas.openxmlformats.org/officeDocument/2006/relationships/hyperlink" Target="#'22_Loi_API'!A1" TargetMode="External" Id="rId22"/><Relationship Type="http://schemas.openxmlformats.org/officeDocument/2006/relationships/hyperlink" Target="#'23_UAT'!A1" TargetMode="External" Id="rId23"/><Relationship Type="http://schemas.openxmlformats.org/officeDocument/2006/relationships/hyperlink" Target="#'24_Quy_uoc_API'!A1" TargetMode="External" Id="rId24"/><Relationship Type="http://schemas.openxmlformats.org/officeDocument/2006/relationships/hyperlink" Target="#'25_Ke_hoach'!A1" TargetMode="External" Id="rId25"/><Relationship Type="http://schemas.openxmlformats.org/officeDocument/2006/relationships/hyperlink" Target="#'26_Ra_soat_DA'!A1" TargetMode="External" Id="rId26"/><Relationship Type="http://schemas.openxmlformats.org/officeDocument/2006/relationships/hyperlink" Target="#'27_Truy_vet_MT'!A1" TargetMode="External" Id="rId27"/></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65"/>
  <sheetViews>
    <sheetView zoomScale="90" workbookViewId="0">
      <selection pane="bottomLeft" activeCell="A1" sqref="A1"/>
    </sheetView>
  </sheetViews>
  <sheetFormatPr baseColWidth="8" defaultRowHeight="15"/>
  <cols>
    <col width="34" customWidth="1" min="1" max="1"/>
    <col width="80" customWidth="1" min="2" max="2"/>
    <col width="70" customWidth="1" min="3" max="3"/>
  </cols>
  <sheetData>
    <row r="1" ht="26" customHeight="1">
      <c r="A1" s="1" t="inlineStr">
        <is>
          <t>SPA NHƯ NGUYỆT  |  TỔNG HỢP PHÂN TÍCH NGHIỆP VỤ &amp; THIẾT KẾ HỆ THỐNG</t>
        </is>
      </c>
    </row>
    <row r="2">
      <c r="A2" s="2" t="inlineStr">
        <is>
          <t>Nguồn chính: 126_DA_NTTT_NguyenXuanHoang_2214_v1.docx (báo cáo ĐATN – Chương 2) · tiến độ: đề cương 126_DC · v2.0 · 25/10/2026</t>
        </is>
      </c>
    </row>
    <row r="3" ht="30" customHeight="1">
      <c r="A3" s="3" t="inlineStr">
        <is>
          <t>Cột 'Nguồn' phân biệt: DA = lấy từ báo cáo; ĐX = đề xuất bổ sung (cần GVHD/chủ spa chốt). Đặc tả UC giữ nguyên nội dung DA; phần bổ sung tách riêng. UC/bảng CSDL bám DA; màn hình, API là thiết kế triển khai đề xuất — repo SpaSystem hiện mới có foundation.</t>
        </is>
      </c>
    </row>
    <row r="4" ht="32" customHeight="1">
      <c r="A4" s="4" t="inlineStr">
        <is>
          <t>Hạng mục</t>
        </is>
      </c>
      <c r="B4" s="4" t="inlineStr">
        <is>
          <t>Giá trị</t>
        </is>
      </c>
      <c r="C4" s="4" t="inlineStr">
        <is>
          <t>Ghi chú</t>
        </is>
      </c>
    </row>
    <row r="5">
      <c r="A5" s="5" t="inlineStr">
        <is>
          <t>Tên đề tài</t>
        </is>
      </c>
      <c r="B5" s="6" t="inlineStr">
        <is>
          <t>Xây dựng hệ thống web quản lý các gói dịch vụ chăm sóc da mặt tại spa Như Nguyệt</t>
        </is>
      </c>
      <c r="C5" s="6" t="inlineStr"/>
    </row>
    <row r="6">
      <c r="A6" s="5" t="inlineStr">
        <is>
          <t>Sinh viên</t>
        </is>
      </c>
      <c r="B6" s="6" t="inlineStr">
        <is>
          <t>Nguyễn Xuân Hoàng — MSSV 22115053122214 — Lớp 22T2</t>
        </is>
      </c>
      <c r="C6" s="6" t="inlineStr"/>
    </row>
    <row r="7">
      <c r="A7" s="5" t="inlineStr">
        <is>
          <t>Người hướng dẫn</t>
        </is>
      </c>
      <c r="B7" s="6" t="inlineStr">
        <is>
          <t>ThS. Nguyễn Thị Thùy Trang</t>
        </is>
      </c>
      <c r="C7" s="6" t="inlineStr">
        <is>
          <t>Bộ môn duyệt: Nguyễn Thị Hà Quyên</t>
        </is>
      </c>
    </row>
    <row r="8">
      <c r="A8" s="5" t="inlineStr">
        <is>
          <t>Thời gian thực hiện</t>
        </is>
      </c>
      <c r="B8" s="6" t="inlineStr">
        <is>
          <t>31/08/2026 → 20/12/2026 (theo đề cương)</t>
        </is>
      </c>
      <c r="C8" s="6" t="inlineStr">
        <is>
          <t>25_Ke_hoach</t>
        </is>
      </c>
    </row>
    <row r="9">
      <c r="A9" s="5" t="inlineStr">
        <is>
          <t>Công nghệ</t>
        </is>
      </c>
      <c r="B9" s="6" t="inlineStr">
        <is>
          <t>ReactJS + TypeScript (web, responsive) · React Native (Android) · ASP.NET Core Web API (C#, Clean Architecture) · PostgreSQL + EF Core (Npgsql) · JWT · RESTful API</t>
        </is>
      </c>
      <c r="C9" s="6" t="inlineStr">
        <is>
          <t>DA – Phương pháp nghiên cứu</t>
        </is>
      </c>
    </row>
    <row r="10">
      <c r="A10" s="5" t="inlineStr">
        <is>
          <t>Kiến trúc</t>
        </is>
      </c>
      <c r="B10" s="6" t="inlineStr">
        <is>
          <t>Client – Server; web và mobile dùng chung RESTful API</t>
        </is>
      </c>
      <c r="C10" s="6" t="inlineStr">
        <is>
          <t>DA – Mở đầu</t>
        </is>
      </c>
    </row>
    <row r="11">
      <c r="A11" s="5" t="inlineStr">
        <is>
          <t>Bảo mật</t>
        </is>
      </c>
      <c r="B11" s="6" t="inlineStr">
        <is>
          <t>JWT xác thực/phân quyền; băm mật khẩu bằng ASP.NET Core Identity; CORS; HTTPS; upload ảnh qua API</t>
        </is>
      </c>
      <c r="C11" s="6" t="inlineStr">
        <is>
          <t>DA – Mở đầu</t>
        </is>
      </c>
    </row>
    <row r="12">
      <c r="A12" s="5" t="inlineStr">
        <is>
          <t>Chống trùng lịch</t>
        </is>
      </c>
      <c r="B12" s="6" t="inlineStr">
        <is>
          <t>Giao dịch + ràng buộc ở tầng CSDL để hai yêu cầu đồng thời không chiếm cùng khung giờ của cùng nhân viên</t>
        </is>
      </c>
      <c r="C12" s="6" t="inlineStr">
        <is>
          <t>DA – Mở đầu; chi tiết 09_Thuat_toan_lich</t>
        </is>
      </c>
    </row>
    <row r="13">
      <c r="A13" s="5" t="inlineStr">
        <is>
          <t>Phạm vi AI</t>
        </is>
      </c>
      <c r="B13" s="6" t="inlineStr">
        <is>
          <t>Hỗ trợ cung cấp thông tin và tư vấn dịch vụ — không chẩn đoán hay kết luận y khoa</t>
        </is>
      </c>
      <c r="C13" s="6" t="inlineStr">
        <is>
          <t>DA – Mục tiêu</t>
        </is>
      </c>
    </row>
    <row r="15">
      <c r="A15" s="7" t="inlineStr">
        <is>
          <t>THỐNG KÊ</t>
        </is>
      </c>
    </row>
    <row r="16">
      <c r="A16" s="5" t="inlineStr">
        <is>
          <t>Nghiệp vụ lớn</t>
        </is>
      </c>
      <c r="B16" s="8">
        <f>COUNTA('02_Nghiep_vu'!A5:A100)</f>
        <v/>
      </c>
      <c r="C16" s="6" t="inlineStr"/>
    </row>
    <row r="17">
      <c r="A17" s="5" t="inlineStr">
        <is>
          <t>Tác nhân</t>
        </is>
      </c>
      <c r="B17" s="8">
        <f>COUNTA('03_Actor'!A5:A100)</f>
        <v/>
      </c>
      <c r="C17" s="6" t="inlineStr">
        <is>
          <t>4 actor người dùng + 4 hệ thống ngoài/nền</t>
        </is>
      </c>
    </row>
    <row r="18">
      <c r="A18" s="5" t="inlineStr">
        <is>
          <t>Use case</t>
        </is>
      </c>
      <c r="B18" s="8">
        <f>COUNTA('04_Checklist_UC'!B5:B200)</f>
        <v/>
      </c>
      <c r="C18" s="6" t="inlineStr">
        <is>
          <t>Theo danh sách actor của DA, gộp UC dùng chung</t>
        </is>
      </c>
    </row>
    <row r="19">
      <c r="A19" s="5" t="inlineStr">
        <is>
          <t>UC có đặc tả trong DA</t>
        </is>
      </c>
      <c r="B19" s="8">
        <f>COUNTIF('04_Checklist_UC'!H5:H200,"DA: có đặc tả")</f>
        <v/>
      </c>
      <c r="C19" s="6" t="inlineStr">
        <is>
          <t>Còn lại: đặc tả đề xuất</t>
        </is>
      </c>
    </row>
    <row r="20">
      <c r="A20" s="5" t="inlineStr">
        <is>
          <t>Business rules</t>
        </is>
      </c>
      <c r="B20" s="8">
        <f>COUNTA('06_Business_Rules'!A5:A200)</f>
        <v/>
      </c>
      <c r="C20" s="6" t="inlineStr"/>
    </row>
    <row r="21">
      <c r="A21" s="5" t="inlineStr">
        <is>
          <t>Màn hình (web + Android)</t>
        </is>
      </c>
      <c r="B21" s="8">
        <f>COUNTA('11_Man_hinh'!A5:A200)</f>
        <v/>
      </c>
      <c r="C21" s="6" t="inlineStr">
        <is>
          <t>Tách web/Android ở 01_Dashboard</t>
        </is>
      </c>
    </row>
    <row r="22">
      <c r="A22" s="5" t="inlineStr">
        <is>
          <t>API endpoints</t>
        </is>
      </c>
      <c r="B22" s="8">
        <f>COUNTA('12_API_Endpoints'!A5:A400)</f>
        <v/>
      </c>
      <c r="C22" s="6" t="inlineStr">
        <is>
          <t>SPA-API-001 → 116</t>
        </is>
      </c>
    </row>
    <row r="23">
      <c r="A23" s="5" t="inlineStr">
        <is>
          <t>Bảng CSDL theo DA</t>
        </is>
      </c>
      <c r="B23" s="8">
        <f>COUNTIF('17_DB_Bang'!D5:D200,"DA")</f>
        <v/>
      </c>
      <c r="C23" s="6" t="inlineStr">
        <is>
          <t>+ 3 bảng đề xuất bổ sung (ĐX)</t>
        </is>
      </c>
    </row>
    <row r="24">
      <c r="A24" s="5" t="inlineStr">
        <is>
          <t>Vấn đề rà soát trong DA</t>
        </is>
      </c>
      <c r="B24" s="8">
        <f>COUNTA('26_Ra_soat_DA'!A5:A200)</f>
        <v/>
      </c>
      <c r="C24" s="6" t="inlineStr">
        <is>
          <t>Cần sửa trước khi nộp báo cáo</t>
        </is>
      </c>
    </row>
    <row r="25">
      <c r="A25" s="5" t="inlineStr">
        <is>
          <t>Test case UAT</t>
        </is>
      </c>
      <c r="B25" s="8">
        <f>COUNTA('23_UAT'!A5:A200)</f>
        <v/>
      </c>
      <c r="C25" s="6" t="inlineStr"/>
    </row>
    <row r="27">
      <c r="A27" s="7" t="inlineStr">
        <is>
          <t>DANH MỤC SHEET</t>
        </is>
      </c>
    </row>
    <row r="28">
      <c r="A28" s="9" t="inlineStr">
        <is>
          <t>01_Dashboard</t>
        </is>
      </c>
      <c r="B28" s="6" t="inlineStr">
        <is>
          <t>Tiến độ &amp; phân bổ UC theo nghiệp vụ, sprint, trạng thái (công thức tự cập nhật)</t>
        </is>
      </c>
    </row>
    <row r="29">
      <c r="A29" s="9" t="inlineStr">
        <is>
          <t>02_Nghiep_vu</t>
        </is>
      </c>
      <c r="B29" s="6" t="inlineStr">
        <is>
          <t>Nghiệp vụ lớn, số UC/API</t>
        </is>
      </c>
    </row>
    <row r="30">
      <c r="A30" s="9" t="inlineStr">
        <is>
          <t>03_Actor</t>
        </is>
      </c>
      <c r="B30" s="6" t="inlineStr">
        <is>
          <t>Tác nhân theo DA + hệ thống ngoài</t>
        </is>
      </c>
    </row>
    <row r="31">
      <c r="A31" s="9" t="inlineStr">
        <is>
          <t>04_Checklist_UC</t>
        </is>
      </c>
      <c r="B31" s="6" t="inlineStr">
        <is>
          <t>34 UC: ưu tiên, độ khó, sprint, trạng thái BE/FE/Mobile/QA, tiêu chí nghiệm thu</t>
        </is>
      </c>
    </row>
    <row r="32">
      <c r="A32" s="9" t="inlineStr">
        <is>
          <t>05_Dac_ta_UC</t>
        </is>
      </c>
      <c r="B32" s="6" t="inlineStr">
        <is>
          <t>Đặc tả UC trích từ DA (Input, Output, Basic/Alternative/Exception flow) + cột rà soát/bổ sung</t>
        </is>
      </c>
    </row>
    <row r="33">
      <c r="A33" s="9" t="inlineStr">
        <is>
          <t>06_Business_Rules</t>
        </is>
      </c>
      <c r="B33" s="6" t="inlineStr">
        <is>
          <t>Quy tắc nghiệp vụ, nơi enforce, nguồn</t>
        </is>
      </c>
    </row>
    <row r="34">
      <c r="A34" s="9" t="inlineStr">
        <is>
          <t>07_Workflow</t>
        </is>
      </c>
      <c r="B34" s="6" t="inlineStr">
        <is>
          <t>Máy trạng thái: LichHen, DonHang, ThanhToan, quyền sử dụng, gói, liệu trình…</t>
        </is>
      </c>
    </row>
    <row r="35">
      <c r="A35" s="9" t="inlineStr">
        <is>
          <t>08_Quy_trinh</t>
        </is>
      </c>
      <c r="B35" s="6" t="inlineStr">
        <is>
          <t>Luồng nghiệp vụ xuyên suốt và đường đi màn hình</t>
        </is>
      </c>
    </row>
    <row r="36">
      <c r="A36" s="9" t="inlineStr">
        <is>
          <t>09_Thuat_toan_lich</t>
        </is>
      </c>
      <c r="B36" s="6" t="inlineStr">
        <is>
          <t>Thuật toán giờ trống &amp; chống trùng lịch trên bảng LichLamViec/LichHen</t>
        </is>
      </c>
    </row>
    <row r="37">
      <c r="A37" s="9" t="inlineStr">
        <is>
          <t>10_Sidebar</t>
        </is>
      </c>
      <c r="B37" s="6" t="inlineStr">
        <is>
          <t>Menu theo vai trò</t>
        </is>
      </c>
    </row>
    <row r="38">
      <c r="A38" s="9" t="inlineStr">
        <is>
          <t>11_Man_hinh</t>
        </is>
      </c>
      <c r="B38" s="6" t="inlineStr">
        <is>
          <t>Màn hình web + Android, route khớp repo</t>
        </is>
      </c>
    </row>
    <row r="39">
      <c r="A39" s="9" t="inlineStr">
        <is>
          <t>12_API_Endpoints</t>
        </is>
      </c>
      <c r="B39" s="6" t="inlineStr">
        <is>
          <t>API REST đề xuất</t>
        </is>
      </c>
    </row>
    <row r="40">
      <c r="A40" s="9" t="inlineStr">
        <is>
          <t>13_API_Mau</t>
        </is>
      </c>
      <c r="B40" s="6" t="inlineStr">
        <is>
          <t>Mẫu JSON</t>
        </is>
      </c>
    </row>
    <row r="41">
      <c r="A41" s="9" t="inlineStr">
        <is>
          <t>14_AI_Tools</t>
        </is>
      </c>
      <c r="B41" s="6" t="inlineStr">
        <is>
          <t>Dữ liệu/tool cho trợ lý AI</t>
        </is>
      </c>
    </row>
    <row r="42">
      <c r="A42" s="9" t="inlineStr">
        <is>
          <t>15_Mapping_UC</t>
        </is>
      </c>
      <c r="B42" s="6" t="inlineStr">
        <is>
          <t>UC → màn hình → API → bảng</t>
        </is>
      </c>
    </row>
    <row r="43">
      <c r="A43" s="9" t="inlineStr">
        <is>
          <t>16_Mapping_Man_hinh</t>
        </is>
      </c>
      <c r="B43" s="6" t="inlineStr">
        <is>
          <t>Màn hình → API → UC</t>
        </is>
      </c>
    </row>
    <row r="44">
      <c r="A44" s="9" t="inlineStr">
        <is>
          <t>17_DB_Bang</t>
        </is>
      </c>
      <c r="B44" s="6" t="inlineStr">
        <is>
          <t>26 bảng theo DA + bảng đề xuất bổ sung</t>
        </is>
      </c>
    </row>
    <row r="45">
      <c r="A45" s="9" t="inlineStr">
        <is>
          <t>18_DB_Cot</t>
        </is>
      </c>
      <c r="B45" s="6" t="inlineStr">
        <is>
          <t>Thuộc tính, kiểu, ràng buộc theo DA + kiểu PostgreSQL đề xuất</t>
        </is>
      </c>
    </row>
    <row r="46">
      <c r="A46" s="9" t="inlineStr">
        <is>
          <t>19_DB_FK</t>
        </is>
      </c>
      <c r="B46" s="6" t="inlineStr">
        <is>
          <t>Quan hệ khóa ngoại trích từ ràng buộc DA</t>
        </is>
      </c>
    </row>
    <row r="47">
      <c r="A47" s="9" t="inlineStr">
        <is>
          <t>20_Enum</t>
        </is>
      </c>
      <c r="B47" s="6" t="inlineStr">
        <is>
          <t>Giá trị đề xuất cho các cột ENUM</t>
        </is>
      </c>
    </row>
    <row r="48">
      <c r="A48" s="9" t="inlineStr">
        <is>
          <t>21_Phan_quyen</t>
        </is>
      </c>
      <c r="B48" s="6" t="inlineStr">
        <is>
          <t>Ma trận quyền Khách vãng lai / Khách hàng / Nhân viên / Chủ spa</t>
        </is>
      </c>
    </row>
    <row r="49">
      <c r="A49" s="9" t="inlineStr">
        <is>
          <t>22_Loi_API</t>
        </is>
      </c>
      <c r="B49" s="6" t="inlineStr">
        <is>
          <t>Mã lỗi gắn với E1/E2 trong đặc tả</t>
        </is>
      </c>
    </row>
    <row r="50">
      <c r="A50" s="9" t="inlineStr">
        <is>
          <t>23_UAT</t>
        </is>
      </c>
      <c r="B50" s="6" t="inlineStr">
        <is>
          <t>Kịch bản kiểm thử</t>
        </is>
      </c>
    </row>
    <row r="51">
      <c r="A51" s="9" t="inlineStr">
        <is>
          <t>24_Quy_uoc_API</t>
        </is>
      </c>
      <c r="B51" s="6" t="inlineStr">
        <is>
          <t>Quy ước API</t>
        </is>
      </c>
    </row>
    <row r="52">
      <c r="A52" s="9" t="inlineStr">
        <is>
          <t>25_Ke_hoach</t>
        </is>
      </c>
      <c r="B52" s="6" t="inlineStr">
        <is>
          <t>Tiến độ (đề cương) + sprint</t>
        </is>
      </c>
    </row>
    <row r="53">
      <c r="A53" s="9" t="inlineStr">
        <is>
          <t>26_Ra_soat_DA</t>
        </is>
      </c>
      <c r="B53" s="6" t="inlineStr">
        <is>
          <t>Lỗi/thiếu sót phát hiện trong file DA và đề xuất sửa</t>
        </is>
      </c>
    </row>
    <row r="54">
      <c r="A54" s="9" t="inlineStr">
        <is>
          <t>27_Truy_vet_MT</t>
        </is>
      </c>
      <c r="B54" s="6" t="inlineStr">
        <is>
          <t>Mục tiêu đề tài → UC</t>
        </is>
      </c>
    </row>
    <row r="56">
      <c r="A56" s="7" t="inlineStr">
        <is>
          <t>ĐIỂM CẦN CHỐT</t>
        </is>
      </c>
    </row>
    <row r="57">
      <c r="A57" s="5" t="inlineStr">
        <is>
          <t>Trợ lý AI cho khách vãng lai</t>
        </is>
      </c>
      <c r="B57" s="6" t="inlineStr">
        <is>
          <t>DA cho phép nhưng LichSuTroChuyenAI.IdKhachHang not null (RS-11)</t>
        </is>
      </c>
    </row>
    <row r="58">
      <c r="A58" s="5" t="inlineStr">
        <is>
          <t>Xác nhận lịch luồng 2</t>
        </is>
      </c>
      <c r="B58" s="6" t="inlineStr">
        <is>
          <t>Tự xác nhận hay chờ chủ spa xác nhận (RS-12)</t>
        </is>
      </c>
    </row>
    <row r="59">
      <c r="A59" s="5" t="inlineStr">
        <is>
          <t>Thời gian giữ chỗ / hạn thanh toán</t>
        </is>
      </c>
      <c r="B59" s="6" t="inlineStr">
        <is>
          <t>Đề xuất 15 phút</t>
        </is>
      </c>
    </row>
    <row r="60">
      <c r="A60" s="5" t="inlineStr">
        <is>
          <t>Chính sách đổi/hủy lịch</t>
        </is>
      </c>
      <c r="B60" s="6" t="inlineStr">
        <is>
          <t>Đề xuất trước giờ hẹn 24h (RS-16)</t>
        </is>
      </c>
    </row>
    <row r="61">
      <c r="A61" s="5" t="inlineStr">
        <is>
          <t>Điều kiện đánh giá gói</t>
        </is>
      </c>
      <c r="B61" s="6" t="inlineStr">
        <is>
          <t>'Đủ số buổi theo quy định' (RS-15)</t>
        </is>
      </c>
    </row>
    <row r="62">
      <c r="A62" s="5" t="inlineStr">
        <is>
          <t>Hạn dùng dịch vụ lẻ đã mua</t>
        </is>
      </c>
      <c r="B62" s="6" t="inlineStr">
        <is>
          <t>DichVuKhachHang.NgayHetHan null = không giới hạn?</t>
        </is>
      </c>
    </row>
    <row r="63">
      <c r="A63" s="5" t="inlineStr">
        <is>
          <t>Khách không đến</t>
        </is>
      </c>
      <c r="B63" s="6" t="inlineStr">
        <is>
          <t>Có trừ lượt/buổi không</t>
        </is>
      </c>
    </row>
    <row r="64">
      <c r="A64" s="5" t="inlineStr">
        <is>
          <t>Cổng thanh toán</t>
        </is>
      </c>
      <c r="B64" s="6" t="inlineStr">
        <is>
          <t>DA chưa nêu tên (ThanhToan.NhaCungCap)</t>
        </is>
      </c>
    </row>
    <row r="65">
      <c r="A65" s="5" t="inlineStr">
        <is>
          <t>Giao diện</t>
        </is>
      </c>
      <c r="B65" s="6" t="inlineStr">
        <is>
          <t>Tailwind CSS (DA) hay CSS Modules (repo) (RS-02)</t>
        </is>
      </c>
    </row>
  </sheetData>
  <mergeCells count="12">
    <mergeCell ref="B62:C62"/>
    <mergeCell ref="B64:C64"/>
    <mergeCell ref="A1:C1"/>
    <mergeCell ref="B59:C59"/>
    <mergeCell ref="B61:C61"/>
    <mergeCell ref="B60:C60"/>
    <mergeCell ref="A3:C3"/>
    <mergeCell ref="B63:C63"/>
    <mergeCell ref="B57:C57"/>
    <mergeCell ref="B65:C65"/>
    <mergeCell ref="A2:C2"/>
    <mergeCell ref="B58:C58"/>
  </mergeCells>
  <hyperlinks>
    <hyperlink xmlns:r="http://schemas.openxmlformats.org/officeDocument/2006/relationships" ref="A28" r:id="rId1"/>
    <hyperlink xmlns:r="http://schemas.openxmlformats.org/officeDocument/2006/relationships" ref="A29" r:id="rId2"/>
    <hyperlink xmlns:r="http://schemas.openxmlformats.org/officeDocument/2006/relationships" ref="A30" r:id="rId3"/>
    <hyperlink xmlns:r="http://schemas.openxmlformats.org/officeDocument/2006/relationships" ref="A31" r:id="rId4"/>
    <hyperlink xmlns:r="http://schemas.openxmlformats.org/officeDocument/2006/relationships" ref="A32" r:id="rId5"/>
    <hyperlink xmlns:r="http://schemas.openxmlformats.org/officeDocument/2006/relationships" ref="A33" r:id="rId6"/>
    <hyperlink xmlns:r="http://schemas.openxmlformats.org/officeDocument/2006/relationships" ref="A34" r:id="rId7"/>
    <hyperlink xmlns:r="http://schemas.openxmlformats.org/officeDocument/2006/relationships" ref="A35" r:id="rId8"/>
    <hyperlink xmlns:r="http://schemas.openxmlformats.org/officeDocument/2006/relationships" ref="A36" r:id="rId9"/>
    <hyperlink xmlns:r="http://schemas.openxmlformats.org/officeDocument/2006/relationships" ref="A37" r:id="rId10"/>
    <hyperlink xmlns:r="http://schemas.openxmlformats.org/officeDocument/2006/relationships" ref="A38" r:id="rId11"/>
    <hyperlink xmlns:r="http://schemas.openxmlformats.org/officeDocument/2006/relationships" ref="A39" r:id="rId12"/>
    <hyperlink xmlns:r="http://schemas.openxmlformats.org/officeDocument/2006/relationships" ref="A40" r:id="rId13"/>
    <hyperlink xmlns:r="http://schemas.openxmlformats.org/officeDocument/2006/relationships" ref="A41" r:id="rId14"/>
    <hyperlink xmlns:r="http://schemas.openxmlformats.org/officeDocument/2006/relationships" ref="A42" r:id="rId15"/>
    <hyperlink xmlns:r="http://schemas.openxmlformats.org/officeDocument/2006/relationships" ref="A43" r:id="rId16"/>
    <hyperlink xmlns:r="http://schemas.openxmlformats.org/officeDocument/2006/relationships" ref="A44" r:id="rId17"/>
    <hyperlink xmlns:r="http://schemas.openxmlformats.org/officeDocument/2006/relationships" ref="A45" r:id="rId18"/>
    <hyperlink xmlns:r="http://schemas.openxmlformats.org/officeDocument/2006/relationships" ref="A46" r:id="rId19"/>
    <hyperlink xmlns:r="http://schemas.openxmlformats.org/officeDocument/2006/relationships" ref="A47" r:id="rId20"/>
    <hyperlink xmlns:r="http://schemas.openxmlformats.org/officeDocument/2006/relationships" ref="A48" r:id="rId21"/>
    <hyperlink xmlns:r="http://schemas.openxmlformats.org/officeDocument/2006/relationships" ref="A49" r:id="rId22"/>
    <hyperlink xmlns:r="http://schemas.openxmlformats.org/officeDocument/2006/relationships" ref="A50" r:id="rId23"/>
    <hyperlink xmlns:r="http://schemas.openxmlformats.org/officeDocument/2006/relationships" ref="A51" r:id="rId24"/>
    <hyperlink xmlns:r="http://schemas.openxmlformats.org/officeDocument/2006/relationships" ref="A52" r:id="rId25"/>
    <hyperlink xmlns:r="http://schemas.openxmlformats.org/officeDocument/2006/relationships" ref="A53" r:id="rId26"/>
    <hyperlink xmlns:r="http://schemas.openxmlformats.org/officeDocument/2006/relationships" ref="A54" r:id="rId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I50"/>
  <sheetViews>
    <sheetView showGridLines="0" workbookViewId="0">
      <pane ySplit="6" topLeftCell="A7" activePane="bottomLeft" state="frozen"/>
      <selection pane="bottomLeft" activeCell="A1" sqref="A1"/>
    </sheetView>
  </sheetViews>
  <sheetFormatPr baseColWidth="8" defaultRowHeight="15"/>
  <cols>
    <col width="2" customWidth="1" min="1" max="1"/>
    <col width="16" customWidth="1" min="2" max="2"/>
    <col width="32" customWidth="1" min="3" max="3"/>
    <col width="14" customWidth="1" min="4" max="4"/>
    <col width="12" customWidth="1" min="5" max="5"/>
    <col width="12" customWidth="1" min="6" max="6"/>
    <col width="12" customWidth="1" min="7" max="7"/>
    <col width="14" customWidth="1" min="8" max="8"/>
    <col width="18" customWidth="1" min="9" max="9"/>
  </cols>
  <sheetData>
    <row r="2">
      <c r="B2" s="10" t="inlineStr">
        <is>
          <t>DASHBOARD TIẾN ĐỘ &amp; PHÂN RÃ NGHIỆP VỤ — SPA NHƯ NGUYỆT</t>
        </is>
      </c>
    </row>
    <row r="3">
      <c r="B3" s="11" t="inlineStr">
        <is>
          <t>Tự cập nhật từ các sheet · nguồn 126_DA_NTTT_NguyenXuanHoang_2214_v1.docx · v2.0 · 25/10/2026</t>
        </is>
      </c>
    </row>
    <row r="5">
      <c r="B5" s="12" t="inlineStr">
        <is>
          <t>TỔNG USE CASE</t>
        </is>
      </c>
      <c r="C5" s="12" t="inlineStr">
        <is>
          <t>UC P0</t>
        </is>
      </c>
      <c r="D5" s="12" t="inlineStr">
        <is>
          <t>API</t>
        </is>
      </c>
      <c r="E5" s="12" t="inlineStr">
        <is>
          <t>MÀN HÌNH</t>
        </is>
      </c>
      <c r="F5" s="12" t="inlineStr">
        <is>
          <t>BẢNG DA</t>
        </is>
      </c>
      <c r="G5" s="12" t="inlineStr">
        <is>
          <t>VẤN ĐỀ DA</t>
        </is>
      </c>
      <c r="H5" s="12" t="inlineStr">
        <is>
          <t>TB TIẾN ĐỘ</t>
        </is>
      </c>
    </row>
    <row r="6" ht="30" customHeight="1">
      <c r="B6" s="13">
        <f>COUNTA('04_Checklist_UC'!B5:B200)</f>
        <v/>
      </c>
      <c r="C6" s="13">
        <f>COUNTIF('04_Checklist_UC'!I5:I200,"P0")</f>
        <v/>
      </c>
      <c r="D6" s="13">
        <f>COUNTA('12_API_Endpoints'!A5:A400)</f>
        <v/>
      </c>
      <c r="E6" s="13">
        <f>COUNTA('11_Man_hinh'!A5:A200)</f>
        <v/>
      </c>
      <c r="F6" s="13">
        <f>COUNTIF('17_DB_Bang'!D5:D200,"DA")</f>
        <v/>
      </c>
      <c r="G6" s="13">
        <f>COUNTIF('26_Ra_soat_DA'!G5:G200,"Chưa")</f>
        <v/>
      </c>
      <c r="H6" s="14">
        <f>IFERROR(AVERAGE('04_Checklist_UC'!Q5:Q200),0)</f>
        <v/>
      </c>
    </row>
    <row r="8">
      <c r="B8" s="15" t="inlineStr">
        <is>
          <t>1. PHÂN BỔ THEO NGHIỆP VỤ LỚN</t>
        </is>
      </c>
    </row>
    <row r="9">
      <c r="B9" s="16" t="inlineStr">
        <is>
          <t>Mã</t>
        </is>
      </c>
      <c r="C9" s="16" t="inlineStr">
        <is>
          <t>Nghiệp vụ lớn</t>
        </is>
      </c>
      <c r="D9" s="16" t="inlineStr">
        <is>
          <t>Số UC</t>
        </is>
      </c>
      <c r="E9" s="16" t="inlineStr">
        <is>
          <t>Tỷ lệ</t>
        </is>
      </c>
      <c r="F9" s="16" t="inlineStr">
        <is>
          <t>UC P0</t>
        </is>
      </c>
      <c r="G9" s="16" t="inlineStr">
        <is>
          <t>Số API</t>
        </is>
      </c>
      <c r="H9" s="16" t="inlineStr">
        <is>
          <t>TB tiến độ</t>
        </is>
      </c>
      <c r="I9" s="16" t="inlineStr">
        <is>
          <t>Trạng thái</t>
        </is>
      </c>
    </row>
    <row r="10">
      <c r="B10" s="17" t="inlineStr">
        <is>
          <t>AUTH</t>
        </is>
      </c>
      <c r="C10" s="6" t="inlineStr">
        <is>
          <t>Tài khoản &amp; xác thực</t>
        </is>
      </c>
      <c r="D10" s="17">
        <f>COUNTIF('04_Checklist_UC'!D$5:D$200,B10)</f>
        <v/>
      </c>
      <c r="E10" s="18">
        <f>IFERROR(D10/$D$22,0)</f>
        <v/>
      </c>
      <c r="F10" s="17">
        <f>COUNTIFS('04_Checklist_UC'!D$5:D$200,B10,'04_Checklist_UC'!I$5:I$200,"P0")</f>
        <v/>
      </c>
      <c r="G10" s="17">
        <f>COUNTIF('12_API_Endpoints'!B$5:B$400,B10)</f>
        <v/>
      </c>
      <c r="H10" s="18">
        <f>IFERROR(AVERAGEIF('04_Checklist_UC'!D$5:D$200,B10,'04_Checklist_UC'!Q$5:Q$200),0)</f>
        <v/>
      </c>
      <c r="I10" s="17">
        <f>IF(D10=0,"Không có UC",IF(H10=1,"Hoàn thành",IF(H10&gt;0,"Đang triển khai","Chưa bắt đầu")))</f>
        <v/>
      </c>
    </row>
    <row r="11">
      <c r="B11" s="17" t="inlineStr">
        <is>
          <t>CAT</t>
        </is>
      </c>
      <c r="C11" s="6" t="inlineStr">
        <is>
          <t>Dịch vụ &amp; gói dịch vụ</t>
        </is>
      </c>
      <c r="D11" s="17">
        <f>COUNTIF('04_Checklist_UC'!D$5:D$200,B11)</f>
        <v/>
      </c>
      <c r="E11" s="18">
        <f>IFERROR(D11/$D$22,0)</f>
        <v/>
      </c>
      <c r="F11" s="17">
        <f>COUNTIFS('04_Checklist_UC'!D$5:D$200,B11,'04_Checklist_UC'!I$5:I$200,"P0")</f>
        <v/>
      </c>
      <c r="G11" s="17">
        <f>COUNTIF('12_API_Endpoints'!B$5:B$400,B11)</f>
        <v/>
      </c>
      <c r="H11" s="18">
        <f>IFERROR(AVERAGEIF('04_Checklist_UC'!D$5:D$200,B11,'04_Checklist_UC'!Q$5:Q$200),0)</f>
        <v/>
      </c>
      <c r="I11" s="17">
        <f>IF(D11=0,"Không có UC",IF(H11=1,"Hoàn thành",IF(H11&gt;0,"Đang triển khai","Chưa bắt đầu")))</f>
        <v/>
      </c>
    </row>
    <row r="12">
      <c r="B12" s="17" t="inlineStr">
        <is>
          <t>ORD</t>
        </is>
      </c>
      <c r="C12" s="6" t="inlineStr">
        <is>
          <t>Giỏ hàng, đơn hàng &amp; thanh toán</t>
        </is>
      </c>
      <c r="D12" s="17">
        <f>COUNTIF('04_Checklist_UC'!D$5:D$200,B12)</f>
        <v/>
      </c>
      <c r="E12" s="18">
        <f>IFERROR(D12/$D$22,0)</f>
        <v/>
      </c>
      <c r="F12" s="17">
        <f>COUNTIFS('04_Checklist_UC'!D$5:D$200,B12,'04_Checklist_UC'!I$5:I$200,"P0")</f>
        <v/>
      </c>
      <c r="G12" s="17">
        <f>COUNTIF('12_API_Endpoints'!B$5:B$400,B12)</f>
        <v/>
      </c>
      <c r="H12" s="18">
        <f>IFERROR(AVERAGEIF('04_Checklist_UC'!D$5:D$200,B12,'04_Checklist_UC'!Q$5:Q$200),0)</f>
        <v/>
      </c>
      <c r="I12" s="17">
        <f>IF(D12=0,"Không có UC",IF(H12=1,"Hoàn thành",IF(H12&gt;0,"Đang triển khai","Chưa bắt đầu")))</f>
        <v/>
      </c>
    </row>
    <row r="13">
      <c r="B13" s="17" t="inlineStr">
        <is>
          <t>PRM</t>
        </is>
      </c>
      <c r="C13" s="6" t="inlineStr">
        <is>
          <t>Khuyến mãi</t>
        </is>
      </c>
      <c r="D13" s="17">
        <f>COUNTIF('04_Checklist_UC'!D$5:D$200,B13)</f>
        <v/>
      </c>
      <c r="E13" s="18">
        <f>IFERROR(D13/$D$22,0)</f>
        <v/>
      </c>
      <c r="F13" s="17">
        <f>COUNTIFS('04_Checklist_UC'!D$5:D$200,B13,'04_Checklist_UC'!I$5:I$200,"P0")</f>
        <v/>
      </c>
      <c r="G13" s="17">
        <f>COUNTIF('12_API_Endpoints'!B$5:B$400,B13)</f>
        <v/>
      </c>
      <c r="H13" s="18">
        <f>IFERROR(AVERAGEIF('04_Checklist_UC'!D$5:D$200,B13,'04_Checklist_UC'!Q$5:Q$200),0)</f>
        <v/>
      </c>
      <c r="I13" s="17">
        <f>IF(D13=0,"Không có UC",IF(H13=1,"Hoàn thành",IF(H13&gt;0,"Đang triển khai","Chưa bắt đầu")))</f>
        <v/>
      </c>
    </row>
    <row r="14">
      <c r="B14" s="17" t="inlineStr">
        <is>
          <t>BKG</t>
        </is>
      </c>
      <c r="C14" s="6" t="inlineStr">
        <is>
          <t>Đặt lịch &amp; lịch hẹn</t>
        </is>
      </c>
      <c r="D14" s="17">
        <f>COUNTIF('04_Checklist_UC'!D$5:D$200,B14)</f>
        <v/>
      </c>
      <c r="E14" s="18">
        <f>IFERROR(D14/$D$22,0)</f>
        <v/>
      </c>
      <c r="F14" s="17">
        <f>COUNTIFS('04_Checklist_UC'!D$5:D$200,B14,'04_Checklist_UC'!I$5:I$200,"P0")</f>
        <v/>
      </c>
      <c r="G14" s="17">
        <f>COUNTIF('12_API_Endpoints'!B$5:B$400,B14)</f>
        <v/>
      </c>
      <c r="H14" s="18">
        <f>IFERROR(AVERAGEIF('04_Checklist_UC'!D$5:D$200,B14,'04_Checklist_UC'!Q$5:Q$200),0)</f>
        <v/>
      </c>
      <c r="I14" s="17">
        <f>IF(D14=0,"Không có UC",IF(H14=1,"Hoàn thành",IF(H14&gt;0,"Đang triển khai","Chưa bắt đầu")))</f>
        <v/>
      </c>
    </row>
    <row r="15">
      <c r="B15" s="17" t="inlineStr">
        <is>
          <t>TRT</t>
        </is>
      </c>
      <c r="C15" s="6" t="inlineStr">
        <is>
          <t>Quyền sử dụng &amp; liệu trình</t>
        </is>
      </c>
      <c r="D15" s="17">
        <f>COUNTIF('04_Checklist_UC'!D$5:D$200,B15)</f>
        <v/>
      </c>
      <c r="E15" s="18">
        <f>IFERROR(D15/$D$22,0)</f>
        <v/>
      </c>
      <c r="F15" s="17">
        <f>COUNTIFS('04_Checklist_UC'!D$5:D$200,B15,'04_Checklist_UC'!I$5:I$200,"P0")</f>
        <v/>
      </c>
      <c r="G15" s="17">
        <f>COUNTIF('12_API_Endpoints'!B$5:B$400,B15)</f>
        <v/>
      </c>
      <c r="H15" s="18">
        <f>IFERROR(AVERAGEIF('04_Checklist_UC'!D$5:D$200,B15,'04_Checklist_UC'!Q$5:Q$200),0)</f>
        <v/>
      </c>
      <c r="I15" s="17">
        <f>IF(D15=0,"Không có UC",IF(H15=1,"Hoàn thành",IF(H15&gt;0,"Đang triển khai","Chưa bắt đầu")))</f>
        <v/>
      </c>
    </row>
    <row r="16">
      <c r="B16" s="17" t="inlineStr">
        <is>
          <t>STF</t>
        </is>
      </c>
      <c r="C16" s="6" t="inlineStr">
        <is>
          <t>Nhân viên &amp; lịch làm việc</t>
        </is>
      </c>
      <c r="D16" s="17">
        <f>COUNTIF('04_Checklist_UC'!D$5:D$200,B16)</f>
        <v/>
      </c>
      <c r="E16" s="18">
        <f>IFERROR(D16/$D$22,0)</f>
        <v/>
      </c>
      <c r="F16" s="17">
        <f>COUNTIFS('04_Checklist_UC'!D$5:D$200,B16,'04_Checklist_UC'!I$5:I$200,"P0")</f>
        <v/>
      </c>
      <c r="G16" s="17">
        <f>COUNTIF('12_API_Endpoints'!B$5:B$400,B16)</f>
        <v/>
      </c>
      <c r="H16" s="18">
        <f>IFERROR(AVERAGEIF('04_Checklist_UC'!D$5:D$200,B16,'04_Checklist_UC'!Q$5:Q$200),0)</f>
        <v/>
      </c>
      <c r="I16" s="17">
        <f>IF(D16=0,"Không có UC",IF(H16=1,"Hoàn thành",IF(H16&gt;0,"Đang triển khai","Chưa bắt đầu")))</f>
        <v/>
      </c>
    </row>
    <row r="17">
      <c r="B17" s="17" t="inlineStr">
        <is>
          <t>CARE</t>
        </is>
      </c>
      <c r="C17" s="6" t="inlineStr">
        <is>
          <t>Chăm sóc &amp; hồ sơ da</t>
        </is>
      </c>
      <c r="D17" s="17">
        <f>COUNTIF('04_Checklist_UC'!D$5:D$200,B17)</f>
        <v/>
      </c>
      <c r="E17" s="18">
        <f>IFERROR(D17/$D$22,0)</f>
        <v/>
      </c>
      <c r="F17" s="17">
        <f>COUNTIFS('04_Checklist_UC'!D$5:D$200,B17,'04_Checklist_UC'!I$5:I$200,"P0")</f>
        <v/>
      </c>
      <c r="G17" s="17">
        <f>COUNTIF('12_API_Endpoints'!B$5:B$400,B17)</f>
        <v/>
      </c>
      <c r="H17" s="18">
        <f>IFERROR(AVERAGEIF('04_Checklist_UC'!D$5:D$200,B17,'04_Checklist_UC'!Q$5:Q$200),0)</f>
        <v/>
      </c>
      <c r="I17" s="17">
        <f>IF(D17=0,"Không có UC",IF(H17=1,"Hoàn thành",IF(H17&gt;0,"Đang triển khai","Chưa bắt đầu")))</f>
        <v/>
      </c>
    </row>
    <row r="18">
      <c r="B18" s="17" t="inlineStr">
        <is>
          <t>REV</t>
        </is>
      </c>
      <c r="C18" s="6" t="inlineStr">
        <is>
          <t>Đánh giá</t>
        </is>
      </c>
      <c r="D18" s="17">
        <f>COUNTIF('04_Checklist_UC'!D$5:D$200,B18)</f>
        <v/>
      </c>
      <c r="E18" s="18">
        <f>IFERROR(D18/$D$22,0)</f>
        <v/>
      </c>
      <c r="F18" s="17">
        <f>COUNTIFS('04_Checklist_UC'!D$5:D$200,B18,'04_Checklist_UC'!I$5:I$200,"P0")</f>
        <v/>
      </c>
      <c r="G18" s="17">
        <f>COUNTIF('12_API_Endpoints'!B$5:B$400,B18)</f>
        <v/>
      </c>
      <c r="H18" s="18">
        <f>IFERROR(AVERAGEIF('04_Checklist_UC'!D$5:D$200,B18,'04_Checklist_UC'!Q$5:Q$200),0)</f>
        <v/>
      </c>
      <c r="I18" s="17">
        <f>IF(D18=0,"Không có UC",IF(H18=1,"Hoàn thành",IF(H18&gt;0,"Đang triển khai","Chưa bắt đầu")))</f>
        <v/>
      </c>
    </row>
    <row r="19">
      <c r="B19" s="17" t="inlineStr">
        <is>
          <t>AI</t>
        </is>
      </c>
      <c r="C19" s="6" t="inlineStr">
        <is>
          <t>Trợ lý AI</t>
        </is>
      </c>
      <c r="D19" s="17">
        <f>COUNTIF('04_Checklist_UC'!D$5:D$200,B19)</f>
        <v/>
      </c>
      <c r="E19" s="18">
        <f>IFERROR(D19/$D$22,0)</f>
        <v/>
      </c>
      <c r="F19" s="17">
        <f>COUNTIFS('04_Checklist_UC'!D$5:D$200,B19,'04_Checklist_UC'!I$5:I$200,"P0")</f>
        <v/>
      </c>
      <c r="G19" s="17">
        <f>COUNTIF('12_API_Endpoints'!B$5:B$400,B19)</f>
        <v/>
      </c>
      <c r="H19" s="18">
        <f>IFERROR(AVERAGEIF('04_Checklist_UC'!D$5:D$200,B19,'04_Checklist_UC'!Q$5:Q$200),0)</f>
        <v/>
      </c>
      <c r="I19" s="17">
        <f>IF(D19=0,"Không có UC",IF(H19=1,"Hoàn thành",IF(H19&gt;0,"Đang triển khai","Chưa bắt đầu")))</f>
        <v/>
      </c>
    </row>
    <row r="20">
      <c r="B20" s="17" t="inlineStr">
        <is>
          <t>RPT</t>
        </is>
      </c>
      <c r="C20" s="6" t="inlineStr">
        <is>
          <t>Thống kê &amp; báo cáo</t>
        </is>
      </c>
      <c r="D20" s="17">
        <f>COUNTIF('04_Checklist_UC'!D$5:D$200,B20)</f>
        <v/>
      </c>
      <c r="E20" s="18">
        <f>IFERROR(D20/$D$22,0)</f>
        <v/>
      </c>
      <c r="F20" s="17">
        <f>COUNTIFS('04_Checklist_UC'!D$5:D$200,B20,'04_Checklist_UC'!I$5:I$200,"P0")</f>
        <v/>
      </c>
      <c r="G20" s="17">
        <f>COUNTIF('12_API_Endpoints'!B$5:B$400,B20)</f>
        <v/>
      </c>
      <c r="H20" s="18">
        <f>IFERROR(AVERAGEIF('04_Checklist_UC'!D$5:D$200,B20,'04_Checklist_UC'!Q$5:Q$200),0)</f>
        <v/>
      </c>
      <c r="I20" s="17">
        <f>IF(D20=0,"Không có UC",IF(H20=1,"Hoàn thành",IF(H20&gt;0,"Đang triển khai","Chưa bắt đầu")))</f>
        <v/>
      </c>
    </row>
    <row r="21">
      <c r="B21" s="17" t="inlineStr">
        <is>
          <t>NTF</t>
        </is>
      </c>
      <c r="C21" s="6" t="inlineStr">
        <is>
          <t>Thông báo</t>
        </is>
      </c>
      <c r="D21" s="17">
        <f>COUNTIF('04_Checklist_UC'!D$5:D$200,B21)</f>
        <v/>
      </c>
      <c r="E21" s="18">
        <f>IFERROR(D21/$D$22,0)</f>
        <v/>
      </c>
      <c r="F21" s="17">
        <f>COUNTIFS('04_Checklist_UC'!D$5:D$200,B21,'04_Checklist_UC'!I$5:I$200,"P0")</f>
        <v/>
      </c>
      <c r="G21" s="17">
        <f>COUNTIF('12_API_Endpoints'!B$5:B$400,B21)</f>
        <v/>
      </c>
      <c r="H21" s="18">
        <f>IFERROR(AVERAGEIF('04_Checklist_UC'!D$5:D$200,B21,'04_Checklist_UC'!Q$5:Q$200),0)</f>
        <v/>
      </c>
      <c r="I21" s="17">
        <f>IF(D21=0,"Không có UC",IF(H21=1,"Hoàn thành",IF(H21&gt;0,"Đang triển khai","Chưa bắt đầu")))</f>
        <v/>
      </c>
    </row>
    <row r="22">
      <c r="B22" s="19" t="inlineStr">
        <is>
          <t>TỔNG</t>
        </is>
      </c>
      <c r="C22" s="20" t="inlineStr">
        <is>
          <t>(chưa gồm 3 API hệ thống /system, /health)</t>
        </is>
      </c>
      <c r="D22" s="21">
        <f>SUM(D10:D21)</f>
        <v/>
      </c>
      <c r="E22" s="22">
        <f>IFERROR(D22/D22,0)</f>
        <v/>
      </c>
      <c r="F22" s="21">
        <f>SUM(F10:F21)</f>
        <v/>
      </c>
      <c r="G22" s="21">
        <f>SUM(G10:G21)</f>
        <v/>
      </c>
      <c r="H22" s="22">
        <f>IFERROR(AVERAGE('04_Checklist_UC'!Q5:Q200),0)</f>
        <v/>
      </c>
    </row>
    <row r="24">
      <c r="B24" s="15" t="inlineStr">
        <is>
          <t>2. PHÂN BỔ THEO SPRINT</t>
        </is>
      </c>
    </row>
    <row r="25">
      <c r="B25" s="16" t="inlineStr">
        <is>
          <t>Sprint</t>
        </is>
      </c>
      <c r="C25" s="16" t="inlineStr">
        <is>
          <t>Chủ đề</t>
        </is>
      </c>
      <c r="D25" s="16" t="inlineStr">
        <is>
          <t>Số UC</t>
        </is>
      </c>
      <c r="E25" s="16" t="inlineStr">
        <is>
          <t>UC P0</t>
        </is>
      </c>
      <c r="F25" s="16" t="inlineStr">
        <is>
          <t>Tổng độ khó</t>
        </is>
      </c>
      <c r="G25" s="16" t="inlineStr">
        <is>
          <t>TB tiến độ</t>
        </is>
      </c>
      <c r="H25" s="16" t="inlineStr">
        <is>
          <t>Thời gian</t>
        </is>
      </c>
    </row>
    <row r="26">
      <c r="B26" s="17" t="inlineStr">
        <is>
          <t>Sprint 1</t>
        </is>
      </c>
      <c r="C26" s="6" t="inlineStr">
        <is>
          <t>Tài khoản, danh mục, nhân viên, đặt lịch lõi</t>
        </is>
      </c>
      <c r="D26" s="17">
        <f>COUNTIF('04_Checklist_UC'!K$5:K$200,B26)</f>
        <v/>
      </c>
      <c r="E26" s="17">
        <f>COUNTIFS('04_Checklist_UC'!K$5:K$200,B26,'04_Checklist_UC'!I$5:I$200,"P0")</f>
        <v/>
      </c>
      <c r="F26" s="17">
        <f>SUMIF('04_Checklist_UC'!K$5:K$200,B26,'04_Checklist_UC'!J$5:J$200)</f>
        <v/>
      </c>
      <c r="G26" s="18">
        <f>IFERROR(AVERAGEIF('04_Checklist_UC'!K$5:K$200,B26,'04_Checklist_UC'!Q$5:Q$200),0)</f>
        <v/>
      </c>
      <c r="H26" s="6" t="inlineStr">
        <is>
          <t>12/10 → 08/11/2026</t>
        </is>
      </c>
    </row>
    <row r="27">
      <c r="B27" s="17" t="inlineStr">
        <is>
          <t>Sprint 2</t>
        </is>
      </c>
      <c r="C27" s="6" t="inlineStr">
        <is>
          <t>Mua hàng, quyền sử dụng, liệu trình, chăm sóc</t>
        </is>
      </c>
      <c r="D27" s="17">
        <f>COUNTIF('04_Checklist_UC'!K$5:K$200,B27)</f>
        <v/>
      </c>
      <c r="E27" s="17">
        <f>COUNTIFS('04_Checklist_UC'!K$5:K$200,B27,'04_Checklist_UC'!I$5:I$200,"P0")</f>
        <v/>
      </c>
      <c r="F27" s="17">
        <f>SUMIF('04_Checklist_UC'!K$5:K$200,B27,'04_Checklist_UC'!J$5:J$200)</f>
        <v/>
      </c>
      <c r="G27" s="18">
        <f>IFERROR(AVERAGEIF('04_Checklist_UC'!K$5:K$200,B27,'04_Checklist_UC'!Q$5:Q$200),0)</f>
        <v/>
      </c>
      <c r="H27" s="6" t="inlineStr">
        <is>
          <t>26/10 → 22/11/2026</t>
        </is>
      </c>
    </row>
    <row r="28">
      <c r="B28" s="17" t="inlineStr">
        <is>
          <t>Sprint 3</t>
        </is>
      </c>
      <c r="C28" s="6" t="inlineStr">
        <is>
          <t>AI, báo cáo, thông báo</t>
        </is>
      </c>
      <c r="D28" s="17">
        <f>COUNTIF('04_Checklist_UC'!K$5:K$200,B28)</f>
        <v/>
      </c>
      <c r="E28" s="17">
        <f>COUNTIFS('04_Checklist_UC'!K$5:K$200,B28,'04_Checklist_UC'!I$5:I$200,"P0")</f>
        <v/>
      </c>
      <c r="F28" s="17">
        <f>SUMIF('04_Checklist_UC'!K$5:K$200,B28,'04_Checklist_UC'!J$5:J$200)</f>
        <v/>
      </c>
      <c r="G28" s="18">
        <f>IFERROR(AVERAGEIF('04_Checklist_UC'!K$5:K$200,B28,'04_Checklist_UC'!Q$5:Q$200),0)</f>
        <v/>
      </c>
      <c r="H28" s="6" t="inlineStr">
        <is>
          <t>09/11 → 06/12/2026</t>
        </is>
      </c>
    </row>
    <row r="30">
      <c r="B30" s="15" t="inlineStr">
        <is>
          <t>3. TRẠNG THÁI TRIỂN KHAI</t>
        </is>
      </c>
    </row>
    <row r="31">
      <c r="B31" s="16" t="inlineStr">
        <is>
          <t>Trạng thái</t>
        </is>
      </c>
      <c r="C31" s="16" t="inlineStr">
        <is>
          <t>BE</t>
        </is>
      </c>
      <c r="D31" s="16" t="inlineStr">
        <is>
          <t>FE Web</t>
        </is>
      </c>
      <c r="E31" s="16" t="inlineStr">
        <is>
          <t>Mobile</t>
        </is>
      </c>
      <c r="F31" s="16" t="inlineStr">
        <is>
          <t>QA</t>
        </is>
      </c>
    </row>
    <row r="32">
      <c r="B32" s="23" t="inlineStr">
        <is>
          <t>Chưa làm</t>
        </is>
      </c>
      <c r="C32" s="17">
        <f>COUNTIF('04_Checklist_UC'!M$5:M$200,B32)</f>
        <v/>
      </c>
      <c r="D32" s="17">
        <f>COUNTIF('04_Checklist_UC'!N$5:N$200,B32)</f>
        <v/>
      </c>
      <c r="E32" s="17">
        <f>COUNTIF('04_Checklist_UC'!O$5:O$200,B32)</f>
        <v/>
      </c>
      <c r="F32" s="17">
        <f>COUNTIF('04_Checklist_UC'!P$5:P$200,B32)</f>
        <v/>
      </c>
    </row>
    <row r="33">
      <c r="B33" s="23" t="inlineStr">
        <is>
          <t>Đang làm</t>
        </is>
      </c>
      <c r="C33" s="17">
        <f>COUNTIF('04_Checklist_UC'!M$5:M$200,B33)</f>
        <v/>
      </c>
      <c r="D33" s="17">
        <f>COUNTIF('04_Checklist_UC'!N$5:N$200,B33)</f>
        <v/>
      </c>
      <c r="E33" s="17">
        <f>COUNTIF('04_Checklist_UC'!O$5:O$200,B33)</f>
        <v/>
      </c>
      <c r="F33" s="17">
        <f>COUNTIF('04_Checklist_UC'!P$5:P$200,B33)</f>
        <v/>
      </c>
    </row>
    <row r="34">
      <c r="B34" s="23" t="inlineStr">
        <is>
          <t>Done chờ Test</t>
        </is>
      </c>
      <c r="C34" s="17">
        <f>COUNTIF('04_Checklist_UC'!M$5:M$200,B34)</f>
        <v/>
      </c>
      <c r="D34" s="17">
        <f>COUNTIF('04_Checklist_UC'!N$5:N$200,B34)</f>
        <v/>
      </c>
      <c r="E34" s="17">
        <f>COUNTIF('04_Checklist_UC'!O$5:O$200,B34)</f>
        <v/>
      </c>
      <c r="F34" s="17">
        <f>COUNTIF('04_Checklist_UC'!P$5:P$200,B34)</f>
        <v/>
      </c>
    </row>
    <row r="35">
      <c r="B35" s="23" t="inlineStr">
        <is>
          <t>Hoàn thành</t>
        </is>
      </c>
      <c r="C35" s="17">
        <f>COUNTIF('04_Checklist_UC'!M$5:M$200,B35)</f>
        <v/>
      </c>
      <c r="D35" s="17">
        <f>COUNTIF('04_Checklist_UC'!N$5:N$200,B35)</f>
        <v/>
      </c>
      <c r="E35" s="17">
        <f>COUNTIF('04_Checklist_UC'!O$5:O$200,B35)</f>
        <v/>
      </c>
      <c r="F35" s="17">
        <f>COUNTIF('04_Checklist_UC'!P$5:P$200,B35)</f>
        <v/>
      </c>
    </row>
    <row r="36">
      <c r="B36" s="23" t="inlineStr">
        <is>
          <t>Tạm dừng</t>
        </is>
      </c>
      <c r="C36" s="17">
        <f>COUNTIF('04_Checklist_UC'!M$5:M$200,B36)</f>
        <v/>
      </c>
      <c r="D36" s="17">
        <f>COUNTIF('04_Checklist_UC'!N$5:N$200,B36)</f>
        <v/>
      </c>
      <c r="E36" s="17">
        <f>COUNTIF('04_Checklist_UC'!O$5:O$200,B36)</f>
        <v/>
      </c>
      <c r="F36" s="17">
        <f>COUNTIF('04_Checklist_UC'!P$5:P$200,B36)</f>
        <v/>
      </c>
    </row>
    <row r="37">
      <c r="B37" s="23" t="inlineStr">
        <is>
          <t>N/A</t>
        </is>
      </c>
      <c r="C37" s="17">
        <f>COUNTIF('04_Checklist_UC'!M$5:M$200,B37)</f>
        <v/>
      </c>
      <c r="D37" s="17">
        <f>COUNTIF('04_Checklist_UC'!N$5:N$200,B37)</f>
        <v/>
      </c>
      <c r="E37" s="17">
        <f>COUNTIF('04_Checklist_UC'!O$5:O$200,B37)</f>
        <v/>
      </c>
      <c r="F37" s="17">
        <f>COUNTIF('04_Checklist_UC'!P$5:P$200,B37)</f>
        <v/>
      </c>
    </row>
    <row r="39">
      <c r="B39" s="15" t="inlineStr">
        <is>
          <t>4. MÀN HÌNH, API, TÀI LIỆU</t>
        </is>
      </c>
    </row>
    <row r="40">
      <c r="B40" s="16" t="inlineStr">
        <is>
          <t>Chỉ tiêu</t>
        </is>
      </c>
      <c r="C40" s="16" t="inlineStr">
        <is>
          <t>Giá trị</t>
        </is>
      </c>
    </row>
    <row r="41">
      <c r="B41" s="23" t="inlineStr">
        <is>
          <t>Màn hình Web</t>
        </is>
      </c>
      <c r="C41" s="17">
        <f>COUNTIF('11_Man_hinh'!B5:B200,"Web")</f>
        <v/>
      </c>
    </row>
    <row r="42">
      <c r="B42" s="23" t="inlineStr">
        <is>
          <t>Màn hình Android</t>
        </is>
      </c>
      <c r="C42" s="17">
        <f>COUNTIF('11_Man_hinh'!B5:B200,"Android")</f>
        <v/>
      </c>
    </row>
    <row r="43">
      <c r="B43" s="23" t="inlineStr">
        <is>
          <t>Route đã có placeholder</t>
        </is>
      </c>
      <c r="C43" s="17">
        <f>COUNTIF('11_Man_hinh'!G5:G200,"Đã có placeholder")</f>
        <v/>
      </c>
    </row>
    <row r="44">
      <c r="B44" s="23" t="inlineStr">
        <is>
          <t>Route cần tạo / đổi tên</t>
        </is>
      </c>
      <c r="C44" s="17">
        <f>COUNTA('11_Man_hinh'!G5:G200)-COUNTIF('11_Man_hinh'!G5:G200,"Đã có placeholder")</f>
        <v/>
      </c>
    </row>
    <row r="45">
      <c r="B45" s="23" t="inlineStr">
        <is>
          <t>API GET</t>
        </is>
      </c>
      <c r="C45" s="17">
        <f>COUNTIF('12_API_Endpoints'!E5:E400,"GET")</f>
        <v/>
      </c>
    </row>
    <row r="46">
      <c r="B46" s="23" t="inlineStr">
        <is>
          <t>API ghi (POST/PUT/PATCH/DELETE)</t>
        </is>
      </c>
      <c r="C46" s="17">
        <f>COUNTA('12_API_Endpoints'!E5:E400)-COUNTIF('12_API_Endpoints'!E5:E400,"GET")</f>
        <v/>
      </c>
    </row>
    <row r="47">
      <c r="B47" s="23" t="inlineStr">
        <is>
          <t>API đã có trong repo</t>
        </is>
      </c>
      <c r="C47" s="17">
        <f>COUNTIF('12_API_Endpoints'!O5:O400,"Đã có")</f>
        <v/>
      </c>
    </row>
    <row r="48">
      <c r="B48" s="23" t="inlineStr">
        <is>
          <t>UC chưa có đặc tả trong DA</t>
        </is>
      </c>
      <c r="C48" s="17">
        <f>COUNTIF('04_Checklist_UC'!H5:H200,"DA: chỉ*")</f>
        <v/>
      </c>
    </row>
    <row r="49">
      <c r="B49" s="23" t="inlineStr">
        <is>
          <t>Vấn đề DA mức Cao chưa sửa</t>
        </is>
      </c>
      <c r="C49" s="17">
        <f>COUNTIFS('26_Ra_soat_DA'!F5:F200,"Cao",'26_Ra_soat_DA'!G5:G200,"Chưa")</f>
        <v/>
      </c>
    </row>
    <row r="50">
      <c r="B50" s="23" t="inlineStr">
        <is>
          <t>Mục tiêu chưa phủ</t>
        </is>
      </c>
      <c r="C50" s="17">
        <f>COUNTIF('27_Truy_vet_MT'!E5:E50,"CHƯA PHỦ")</f>
        <v/>
      </c>
    </row>
  </sheetData>
  <mergeCells count="2">
    <mergeCell ref="B3:I3"/>
    <mergeCell ref="B2:I2"/>
  </mergeCells>
  <conditionalFormatting sqref="H10:H21">
    <cfRule type="dataBar" priority="1">
      <dataBar>
        <cfvo type="num" val="0"/>
        <cfvo type="num" val="1"/>
        <color rgb="0063BE7B"/>
      </dataBar>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6"/>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70" customWidth="1" min="3" max="3"/>
    <col width="14" customWidth="1" min="4" max="4"/>
    <col width="9" customWidth="1" min="5" max="5"/>
    <col width="9" customWidth="1" min="6" max="6"/>
    <col width="9" customWidth="1" min="7" max="7"/>
    <col width="60" customWidth="1" min="8" max="8"/>
  </cols>
  <sheetData>
    <row r="1" ht="26" customHeight="1">
      <c r="A1" s="1" t="inlineStr">
        <is>
          <t>02 · DANH SÁCH NGHIỆP VỤ LỚN</t>
        </is>
      </c>
    </row>
    <row r="2">
      <c r="A2" s="2" t="inlineStr">
        <is>
          <t>12 nghiệp vụ · gom từ danh sách UC của DA</t>
        </is>
      </c>
    </row>
    <row r="3" ht="30" customHeight="1">
      <c r="A3" s="3" t="inlineStr">
        <is>
          <t>Số UC / P0 / API là công thức đếm từ 04_Checklist_UC và 12_API_Endpoints.</t>
        </is>
      </c>
    </row>
    <row r="4" ht="32" customHeight="1">
      <c r="A4" s="4" t="inlineStr">
        <is>
          <t>Mã nhóm</t>
        </is>
      </c>
      <c r="B4" s="4" t="inlineStr">
        <is>
          <t>Nghiệp vụ lớn</t>
        </is>
      </c>
      <c r="C4" s="4" t="inlineStr">
        <is>
          <t>Mô tả phạm vi</t>
        </is>
      </c>
      <c r="D4" s="4" t="inlineStr">
        <is>
          <t>Nguồn</t>
        </is>
      </c>
      <c r="E4" s="4" t="inlineStr">
        <is>
          <t>Số UC</t>
        </is>
      </c>
      <c r="F4" s="4" t="inlineStr">
        <is>
          <t>UC P0</t>
        </is>
      </c>
      <c r="G4" s="4" t="inlineStr">
        <is>
          <t>Số API</t>
        </is>
      </c>
      <c r="H4" s="4" t="inlineStr">
        <is>
          <t>Danh sách UC</t>
        </is>
      </c>
    </row>
    <row r="5">
      <c r="A5" s="24" t="inlineStr">
        <is>
          <t>AUTH</t>
        </is>
      </c>
      <c r="B5" s="25" t="inlineStr">
        <is>
          <t>Tài khoản &amp; xác thực</t>
        </is>
      </c>
      <c r="C5" s="25" t="inlineStr">
        <is>
          <t>Đăng ký (OTP email), đăng nhập theo vai trò, quên mật khẩu (OTP), cập nhật thông tin, chủ spa quản lý tài khoản</t>
        </is>
      </c>
      <c r="D5" s="25" t="inlineStr">
        <is>
          <t>DA §2.2.1</t>
        </is>
      </c>
      <c r="E5" s="24">
        <f>COUNTIF('04_Checklist_UC'!D$5:D$200,A5)</f>
        <v/>
      </c>
      <c r="F5" s="24">
        <f>COUNTIFS('04_Checklist_UC'!D$5:D$200,A5,'04_Checklist_UC'!I$5:I$200,"P0")</f>
        <v/>
      </c>
      <c r="G5" s="24">
        <f>COUNTIF('12_API_Endpoints'!B$5:B$400,A5)</f>
        <v/>
      </c>
      <c r="H5" s="25" t="inlineStr">
        <is>
          <t>UC-SPA-01, UC-SPA-02, UC-SPA-03, UC-SPA-04, UC-SPA-05</t>
        </is>
      </c>
    </row>
    <row r="6">
      <c r="A6" s="26" t="inlineStr">
        <is>
          <t>CAT</t>
        </is>
      </c>
      <c r="B6" s="27" t="inlineStr">
        <is>
          <t>Dịch vụ &amp; gói dịch vụ</t>
        </is>
      </c>
      <c r="C6" s="27" t="inlineStr">
        <is>
          <t>Tìm kiếm, xem chi tiết, giới thiệu spa; chủ spa quản lý dịch vụ và gói (dịch vụ thành phần, số buổi)</t>
        </is>
      </c>
      <c r="D6" s="27" t="inlineStr">
        <is>
          <t>DA §2.2.1</t>
        </is>
      </c>
      <c r="E6" s="26">
        <f>COUNTIF('04_Checklist_UC'!D$5:D$200,A6)</f>
        <v/>
      </c>
      <c r="F6" s="26">
        <f>COUNTIFS('04_Checklist_UC'!D$5:D$200,A6,'04_Checklist_UC'!I$5:I$200,"P0")</f>
        <v/>
      </c>
      <c r="G6" s="26">
        <f>COUNTIF('12_API_Endpoints'!B$5:B$400,A6)</f>
        <v/>
      </c>
      <c r="H6" s="27" t="inlineStr">
        <is>
          <t>UC-SPA-06, UC-SPA-07, UC-SPA-08, UC-SPA-09</t>
        </is>
      </c>
    </row>
    <row r="7">
      <c r="A7" s="24" t="inlineStr">
        <is>
          <t>ORD</t>
        </is>
      </c>
      <c r="B7" s="25" t="inlineStr">
        <is>
          <t>Giỏ hàng, đơn hàng &amp; thanh toán</t>
        </is>
      </c>
      <c r="C7" s="25" t="inlineStr">
        <is>
          <t>Giỏ hàng, thanh toán trực tuyến qua cổng, đơn hàng của khách và quản lý đơn của chủ spa</t>
        </is>
      </c>
      <c r="D7" s="25" t="inlineStr">
        <is>
          <t>DA §2.2.1</t>
        </is>
      </c>
      <c r="E7" s="24">
        <f>COUNTIF('04_Checklist_UC'!D$5:D$200,A7)</f>
        <v/>
      </c>
      <c r="F7" s="24">
        <f>COUNTIFS('04_Checklist_UC'!D$5:D$200,A7,'04_Checklist_UC'!I$5:I$200,"P0")</f>
        <v/>
      </c>
      <c r="G7" s="24">
        <f>COUNTIF('12_API_Endpoints'!B$5:B$400,A7)</f>
        <v/>
      </c>
      <c r="H7" s="25" t="inlineStr">
        <is>
          <t>UC-SPA-10, UC-SPA-11, UC-SPA-12, UC-SPA-13</t>
        </is>
      </c>
    </row>
    <row r="8">
      <c r="A8" s="26" t="inlineStr">
        <is>
          <t>PRM</t>
        </is>
      </c>
      <c r="B8" s="27" t="inlineStr">
        <is>
          <t>Khuyến mãi</t>
        </is>
      </c>
      <c r="C8" s="27" t="inlineStr">
        <is>
          <t>Chủ spa quản lý chương trình; khách nhập mã khi thanh toán</t>
        </is>
      </c>
      <c r="D8" s="27" t="inlineStr">
        <is>
          <t>DA §2.2.1</t>
        </is>
      </c>
      <c r="E8" s="26">
        <f>COUNTIF('04_Checklist_UC'!D$5:D$200,A8)</f>
        <v/>
      </c>
      <c r="F8" s="26">
        <f>COUNTIFS('04_Checklist_UC'!D$5:D$200,A8,'04_Checklist_UC'!I$5:I$200,"P0")</f>
        <v/>
      </c>
      <c r="G8" s="26">
        <f>COUNTIF('12_API_Endpoints'!B$5:B$400,A8)</f>
        <v/>
      </c>
      <c r="H8" s="27" t="inlineStr">
        <is>
          <t>UC-SPA-14</t>
        </is>
      </c>
    </row>
    <row r="9">
      <c r="A9" s="24" t="inlineStr">
        <is>
          <t>BKG</t>
        </is>
      </c>
      <c r="B9" s="25" t="inlineStr">
        <is>
          <t>Đặt lịch &amp; lịch hẹn</t>
        </is>
      </c>
      <c r="C9" s="25" t="inlineStr">
        <is>
          <t>Đặt lịch (đặt ngay + thanh toán / đặt từ dịch vụ, gói đã mua), đổi/hủy, chủ spa điều phối</t>
        </is>
      </c>
      <c r="D9" s="25" t="inlineStr">
        <is>
          <t>DA §2.2.1</t>
        </is>
      </c>
      <c r="E9" s="24">
        <f>COUNTIF('04_Checklist_UC'!D$5:D$200,A9)</f>
        <v/>
      </c>
      <c r="F9" s="24">
        <f>COUNTIFS('04_Checklist_UC'!D$5:D$200,A9,'04_Checklist_UC'!I$5:I$200,"P0")</f>
        <v/>
      </c>
      <c r="G9" s="24">
        <f>COUNTIF('12_API_Endpoints'!B$5:B$400,A9)</f>
        <v/>
      </c>
      <c r="H9" s="25" t="inlineStr">
        <is>
          <t>UC-SPA-15, UC-SPA-16, UC-SPA-17</t>
        </is>
      </c>
    </row>
    <row r="10">
      <c r="A10" s="26" t="inlineStr">
        <is>
          <t>TRT</t>
        </is>
      </c>
      <c r="B10" s="27" t="inlineStr">
        <is>
          <t>Quyền sử dụng &amp; liệu trình</t>
        </is>
      </c>
      <c r="C10" s="27" t="inlineStr">
        <is>
          <t>Dịch vụ và gói đã mua, liệu trình nhiều buổi, lịch sử sử dụng</t>
        </is>
      </c>
      <c r="D10" s="27" t="inlineStr">
        <is>
          <t>DA §2.2.1</t>
        </is>
      </c>
      <c r="E10" s="26">
        <f>COUNTIF('04_Checklist_UC'!D$5:D$200,A10)</f>
        <v/>
      </c>
      <c r="F10" s="26">
        <f>COUNTIFS('04_Checklist_UC'!D$5:D$200,A10,'04_Checklist_UC'!I$5:I$200,"P0")</f>
        <v/>
      </c>
      <c r="G10" s="26">
        <f>COUNTIF('12_API_Endpoints'!B$5:B$400,A10)</f>
        <v/>
      </c>
      <c r="H10" s="27" t="inlineStr">
        <is>
          <t>UC-SPA-18, UC-SPA-19, UC-SPA-20, UC-SPA-21</t>
        </is>
      </c>
    </row>
    <row r="11">
      <c r="A11" s="24" t="inlineStr">
        <is>
          <t>STF</t>
        </is>
      </c>
      <c r="B11" s="25" t="inlineStr">
        <is>
          <t>Nhân viên &amp; lịch làm việc</t>
        </is>
      </c>
      <c r="C11" s="25" t="inlineStr">
        <is>
          <t>Hồ sơ nhân viên, nghỉ việc, phân công ca, nhân viên xem lịch và lịch hẹn được phân công</t>
        </is>
      </c>
      <c r="D11" s="25" t="inlineStr">
        <is>
          <t>DA §2.2.1</t>
        </is>
      </c>
      <c r="E11" s="24">
        <f>COUNTIF('04_Checklist_UC'!D$5:D$200,A11)</f>
        <v/>
      </c>
      <c r="F11" s="24">
        <f>COUNTIFS('04_Checklist_UC'!D$5:D$200,A11,'04_Checklist_UC'!I$5:I$200,"P0")</f>
        <v/>
      </c>
      <c r="G11" s="24">
        <f>COUNTIF('12_API_Endpoints'!B$5:B$400,A11)</f>
        <v/>
      </c>
      <c r="H11" s="25" t="inlineStr">
        <is>
          <t>UC-SPA-22, UC-SPA-23, UC-SPA-24, UC-SPA-25</t>
        </is>
      </c>
    </row>
    <row r="12">
      <c r="A12" s="26" t="inlineStr">
        <is>
          <t>CARE</t>
        </is>
      </c>
      <c r="B12" s="27" t="inlineStr">
        <is>
          <t>Chăm sóc &amp; hồ sơ da</t>
        </is>
      </c>
      <c r="C12" s="27" t="inlineStr">
        <is>
          <t>Lịch sử khách đã chăm sóc, hồ sơ da, dị ứng, xác nhận hoàn thành buổi</t>
        </is>
      </c>
      <c r="D12" s="27" t="inlineStr">
        <is>
          <t>DA §2.2.1</t>
        </is>
      </c>
      <c r="E12" s="26">
        <f>COUNTIF('04_Checklist_UC'!D$5:D$200,A12)</f>
        <v/>
      </c>
      <c r="F12" s="26">
        <f>COUNTIFS('04_Checklist_UC'!D$5:D$200,A12,'04_Checklist_UC'!I$5:I$200,"P0")</f>
        <v/>
      </c>
      <c r="G12" s="26">
        <f>COUNTIF('12_API_Endpoints'!B$5:B$400,A12)</f>
        <v/>
      </c>
      <c r="H12" s="27" t="inlineStr">
        <is>
          <t>UC-SPA-26, UC-SPA-27, UC-SPA-28</t>
        </is>
      </c>
    </row>
    <row r="13">
      <c r="A13" s="24" t="inlineStr">
        <is>
          <t>REV</t>
        </is>
      </c>
      <c r="B13" s="25" t="inlineStr">
        <is>
          <t>Đánh giá</t>
        </is>
      </c>
      <c r="C13" s="25" t="inlineStr">
        <is>
          <t>Xem đánh giá, khách đánh giá (kèm ảnh), chủ spa phản hồi/ẩn</t>
        </is>
      </c>
      <c r="D13" s="25" t="inlineStr">
        <is>
          <t>DA §2.2.1</t>
        </is>
      </c>
      <c r="E13" s="24">
        <f>COUNTIF('04_Checklist_UC'!D$5:D$200,A13)</f>
        <v/>
      </c>
      <c r="F13" s="24">
        <f>COUNTIFS('04_Checklist_UC'!D$5:D$200,A13,'04_Checklist_UC'!I$5:I$200,"P0")</f>
        <v/>
      </c>
      <c r="G13" s="24">
        <f>COUNTIF('12_API_Endpoints'!B$5:B$400,A13)</f>
        <v/>
      </c>
      <c r="H13" s="25" t="inlineStr">
        <is>
          <t>UC-SPA-29, UC-SPA-30, UC-SPA-31</t>
        </is>
      </c>
    </row>
    <row r="14">
      <c r="A14" s="26" t="inlineStr">
        <is>
          <t>AI</t>
        </is>
      </c>
      <c r="B14" s="27" t="inlineStr">
        <is>
          <t>Trợ lý AI</t>
        </is>
      </c>
      <c r="C14" s="27" t="inlineStr">
        <is>
          <t>Tư vấn dịch vụ theo nhu cầu, lưu lịch sử trao đổi</t>
        </is>
      </c>
      <c r="D14" s="27" t="inlineStr">
        <is>
          <t>DA §2.2.1</t>
        </is>
      </c>
      <c r="E14" s="26">
        <f>COUNTIF('04_Checklist_UC'!D$5:D$200,A14)</f>
        <v/>
      </c>
      <c r="F14" s="26">
        <f>COUNTIFS('04_Checklist_UC'!D$5:D$200,A14,'04_Checklist_UC'!I$5:I$200,"P0")</f>
        <v/>
      </c>
      <c r="G14" s="26">
        <f>COUNTIF('12_API_Endpoints'!B$5:B$400,A14)</f>
        <v/>
      </c>
      <c r="H14" s="27" t="inlineStr">
        <is>
          <t>UC-SPA-32</t>
        </is>
      </c>
    </row>
    <row r="15">
      <c r="A15" s="24" t="inlineStr">
        <is>
          <t>RPT</t>
        </is>
      </c>
      <c r="B15" s="25" t="inlineStr">
        <is>
          <t>Thống kê &amp; báo cáo</t>
        </is>
      </c>
      <c r="C15" s="25" t="inlineStr">
        <is>
          <t>Doanh thu theo khoảng thời gian và tiêu chí, biểu đồ</t>
        </is>
      </c>
      <c r="D15" s="25" t="inlineStr">
        <is>
          <t>DA §2.2.1</t>
        </is>
      </c>
      <c r="E15" s="24">
        <f>COUNTIF('04_Checklist_UC'!D$5:D$200,A15)</f>
        <v/>
      </c>
      <c r="F15" s="24">
        <f>COUNTIFS('04_Checklist_UC'!D$5:D$200,A15,'04_Checklist_UC'!I$5:I$200,"P0")</f>
        <v/>
      </c>
      <c r="G15" s="24">
        <f>COUNTIF('12_API_Endpoints'!B$5:B$400,A15)</f>
        <v/>
      </c>
      <c r="H15" s="25" t="inlineStr">
        <is>
          <t>UC-SPA-33</t>
        </is>
      </c>
    </row>
    <row r="16">
      <c r="A16" s="26" t="inlineStr">
        <is>
          <t>NTF</t>
        </is>
      </c>
      <c r="B16" s="27" t="inlineStr">
        <is>
          <t>Thông báo</t>
        </is>
      </c>
      <c r="C16" s="27" t="inlineStr">
        <is>
          <t>Thông báo/nhắc lịch cho khách hàng và nhân viên</t>
        </is>
      </c>
      <c r="D16" s="27" t="inlineStr">
        <is>
          <t>DA §2.2.1</t>
        </is>
      </c>
      <c r="E16" s="26">
        <f>COUNTIF('04_Checklist_UC'!D$5:D$200,A16)</f>
        <v/>
      </c>
      <c r="F16" s="26">
        <f>COUNTIFS('04_Checklist_UC'!D$5:D$200,A16,'04_Checklist_UC'!I$5:I$200,"P0")</f>
        <v/>
      </c>
      <c r="G16" s="26">
        <f>COUNTIF('12_API_Endpoints'!B$5:B$400,A16)</f>
        <v/>
      </c>
      <c r="H16" s="27" t="inlineStr">
        <is>
          <t>UC-SPA-34</t>
        </is>
      </c>
    </row>
  </sheetData>
  <autoFilter ref="A4:H16"/>
  <mergeCells count="3">
    <mergeCell ref="A3:H3"/>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zoomScale="90" workbookViewId="0">
      <pane ySplit="4" topLeftCell="A5" activePane="bottomLeft" state="frozen"/>
      <selection pane="bottomLeft" activeCell="A1" sqref="A1"/>
    </sheetView>
  </sheetViews>
  <sheetFormatPr baseColWidth="8" defaultRowHeight="15"/>
  <cols>
    <col width="10" customWidth="1" min="1" max="1"/>
    <col width="24" customWidth="1" min="2" max="2"/>
    <col width="90" customWidth="1" min="3" max="3"/>
    <col width="22" customWidth="1" min="4" max="4"/>
    <col width="40" customWidth="1" min="5" max="5"/>
    <col width="14" customWidth="1" min="6" max="6"/>
  </cols>
  <sheetData>
    <row r="1" ht="26" customHeight="1">
      <c r="A1" s="1" t="inlineStr">
        <is>
          <t>03 · TÁC NHÂN (ACTOR)</t>
        </is>
      </c>
    </row>
    <row r="2">
      <c r="A2" s="2" t="inlineStr">
        <is>
          <t>Theo mục 'Liệt kê Actor và Usecase' của DA + hệ thống ngoài</t>
        </is>
      </c>
    </row>
    <row r="3" ht="30" customHeight="1">
      <c r="A3" s="3" t="inlineStr">
        <is>
          <t>Mã actor dùng trong cột Actor / Vai trò ở các sheet khác.</t>
        </is>
      </c>
    </row>
    <row r="4" ht="32" customHeight="1">
      <c r="A4" s="4" t="inlineStr">
        <is>
          <t>Mã</t>
        </is>
      </c>
      <c r="B4" s="4" t="inlineStr">
        <is>
          <t>Tác nhân</t>
        </is>
      </c>
      <c r="C4" s="4" t="inlineStr">
        <is>
          <t>Phạm vi</t>
        </is>
      </c>
      <c r="D4" s="4" t="inlineStr">
        <is>
          <t>Nền tảng</t>
        </is>
      </c>
      <c r="E4" s="4" t="inlineStr">
        <is>
          <t>Nguồn</t>
        </is>
      </c>
      <c r="F4" s="4" t="inlineStr">
        <is>
          <t>Số UC tham gia</t>
        </is>
      </c>
    </row>
    <row r="5">
      <c r="A5" s="24" t="inlineStr">
        <is>
          <t>GUEST</t>
        </is>
      </c>
      <c r="B5" s="25" t="inlineStr">
        <is>
          <t>Khách vãng lai</t>
        </is>
      </c>
      <c r="C5" s="25" t="inlineStr">
        <is>
          <t>Tìm kiếm, xem chi tiết dịch vụ/gói, xem giới thiệu spa, xem đánh giá, đăng ký, đăng nhập, quên mật khẩu; theo đặc tả còn được trò chuyện với AI</t>
        </is>
      </c>
      <c r="D5" s="25" t="inlineStr">
        <is>
          <t>Web, Android</t>
        </is>
      </c>
      <c r="E5" s="25" t="inlineStr">
        <is>
          <t>DA – Liệt kê Actor</t>
        </is>
      </c>
      <c r="F5" s="24">
        <f>COUNTIF('04_Checklist_UC'!G$5:G$200,"*"&amp;A5&amp;"*")</f>
        <v/>
      </c>
    </row>
    <row r="6">
      <c r="A6" s="26" t="inlineStr">
        <is>
          <t>CUS</t>
        </is>
      </c>
      <c r="B6" s="27" t="inlineStr">
        <is>
          <t>Khách hàng</t>
        </is>
      </c>
      <c r="C6" s="27" t="inlineStr">
        <is>
          <t>Cập nhật tài khoản, tìm kiếm, AI, dịch vụ/gói đã mua, đặt lịch, giỏ hàng, lịch hẹn, thanh toán, liệu trình, lịch sử, thông báo, đơn hàng, đánh giá</t>
        </is>
      </c>
      <c r="D6" s="27" t="inlineStr">
        <is>
          <t>Web, Android</t>
        </is>
      </c>
      <c r="E6" s="27" t="inlineStr">
        <is>
          <t>DA – Liệt kê Actor</t>
        </is>
      </c>
      <c r="F6" s="26">
        <f>COUNTIF('04_Checklist_UC'!G$5:G$200,"*"&amp;A6&amp;"*")</f>
        <v/>
      </c>
    </row>
    <row r="7">
      <c r="A7" s="24" t="inlineStr">
        <is>
          <t>STF</t>
        </is>
      </c>
      <c r="B7" s="25" t="inlineStr">
        <is>
          <t>Nhân viên</t>
        </is>
      </c>
      <c r="C7" s="25" t="inlineStr">
        <is>
          <t>Cập nhật tài khoản, thông báo, lịch làm việc cá nhân, lịch hẹn được phân công, lịch sử khách đã chăm sóc, hồ sơ da, xác nhận hoàn thành, quản lý liệu trình</t>
        </is>
      </c>
      <c r="D7" s="25" t="inlineStr">
        <is>
          <t>Web, Android</t>
        </is>
      </c>
      <c r="E7" s="25" t="inlineStr">
        <is>
          <t>DA – Liệt kê Actor</t>
        </is>
      </c>
      <c r="F7" s="24">
        <f>COUNTIF('04_Checklist_UC'!G$5:G$200,"*"&amp;A7&amp;"*")</f>
        <v/>
      </c>
    </row>
    <row r="8">
      <c r="A8" s="26" t="inlineStr">
        <is>
          <t>OWN</t>
        </is>
      </c>
      <c r="B8" s="27" t="inlineStr">
        <is>
          <t>Chủ spa</t>
        </is>
      </c>
      <c r="C8" s="27" t="inlineStr">
        <is>
          <t>Quản lý nhân viên, tài khoản người dùng, đơn hàng, phân công lịch, dịch vụ &amp; gói, khuyến mãi, lịch hẹn, liệu trình, đánh giá; xem báo cáo doanh thu</t>
        </is>
      </c>
      <c r="D8" s="27" t="inlineStr">
        <is>
          <t>Web (Android rút gọn)</t>
        </is>
      </c>
      <c r="E8" s="27" t="inlineStr">
        <is>
          <t>DA – Liệt kê Actor</t>
        </is>
      </c>
      <c r="F8" s="26">
        <f>COUNTIF('04_Checklist_UC'!G$5:G$200,"*"&amp;A8&amp;"*")</f>
        <v/>
      </c>
    </row>
    <row r="9">
      <c r="A9" s="24" t="inlineStr">
        <is>
          <t>PGW</t>
        </is>
      </c>
      <c r="B9" s="25" t="inlineStr">
        <is>
          <t>Cổng thanh toán</t>
        </is>
      </c>
      <c r="C9" s="25" t="inlineStr">
        <is>
          <t>Xử lý giao dịch và gửi kết quả (DA không nêu tên cổng; ThanhToan.NhaCungCap)</t>
        </is>
      </c>
      <c r="D9" s="25" t="inlineStr">
        <is>
          <t>Bên ngoài</t>
        </is>
      </c>
      <c r="E9" s="25" t="inlineStr">
        <is>
          <t>DA – UC Thanh toán trực tuyến</t>
        </is>
      </c>
      <c r="F9" s="24">
        <f>COUNTIF('04_Checklist_UC'!G$5:G$200,"*"&amp;A9&amp;"*")</f>
        <v/>
      </c>
    </row>
    <row r="10">
      <c r="A10" s="26" t="inlineStr">
        <is>
          <t>LLM</t>
        </is>
      </c>
      <c r="B10" s="27" t="inlineStr">
        <is>
          <t>Dịch vụ AI</t>
        </is>
      </c>
      <c r="C10" s="27" t="inlineStr">
        <is>
          <t>Xử lý câu hỏi và trả kết quả cho trợ lý</t>
        </is>
      </c>
      <c r="D10" s="27" t="inlineStr">
        <is>
          <t>Bên ngoài</t>
        </is>
      </c>
      <c r="E10" s="27" t="inlineStr">
        <is>
          <t>DA – UC Trò chuyện với AI</t>
        </is>
      </c>
      <c r="F10" s="26">
        <f>COUNTIF('04_Checklist_UC'!G$5:G$200,"*"&amp;A10&amp;"*")</f>
        <v/>
      </c>
    </row>
    <row r="11">
      <c r="A11" s="24" t="inlineStr">
        <is>
          <t>MAIL</t>
        </is>
      </c>
      <c r="B11" s="25" t="inlineStr">
        <is>
          <t>Dịch vụ email</t>
        </is>
      </c>
      <c r="C11" s="25" t="inlineStr">
        <is>
          <t>Gửi OTP đăng ký/quên mật khẩu, thông báo nhắc lịch</t>
        </is>
      </c>
      <c r="D11" s="25" t="inlineStr">
        <is>
          <t>Bên ngoài</t>
        </is>
      </c>
      <c r="E11" s="25" t="inlineStr">
        <is>
          <t>DA – UC Đăng ký, Quên mật khẩu; Mở đầu</t>
        </is>
      </c>
      <c r="F11" s="24">
        <f>COUNTIF('04_Checklist_UC'!G$5:G$200,"*"&amp;A11&amp;"*")</f>
        <v/>
      </c>
    </row>
    <row r="12">
      <c r="A12" s="26" t="inlineStr">
        <is>
          <t>SYS</t>
        </is>
      </c>
      <c r="B12" s="27" t="inlineStr">
        <is>
          <t>Hệ thống (tác vụ nền)</t>
        </is>
      </c>
      <c r="C12" s="27" t="inlineStr">
        <is>
          <t>Hết hạn giữ chỗ/đơn, hết hạn quyền sử dụng, gửi nhắc lịch</t>
        </is>
      </c>
      <c r="D12" s="27" t="inlineStr">
        <is>
          <t>Backend</t>
        </is>
      </c>
      <c r="E12" s="27" t="inlineStr">
        <is>
          <t>ĐX (suy ra từ DonHang.HetHanThanhToanLuc, LichHen.GiuChoDen)</t>
        </is>
      </c>
      <c r="F12" s="26">
        <f>COUNTIF('04_Checklist_UC'!G$5:G$200,"*"&amp;A12&amp;"*")</f>
        <v/>
      </c>
    </row>
  </sheetData>
  <autoFilter ref="A4:F12"/>
  <mergeCells count="3">
    <mergeCell ref="A3:F3"/>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8"/>
  <sheetViews>
    <sheetView zoomScale="90" workbookViewId="0">
      <pane xSplit="5" ySplit="4" topLeftCell="F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22" customWidth="1" min="3" max="3"/>
    <col width="9" customWidth="1" min="4" max="4"/>
    <col width="36" customWidth="1" min="5" max="5"/>
    <col width="52" customWidth="1" min="6" max="6"/>
    <col width="16" customWidth="1" min="7" max="7"/>
    <col width="18" customWidth="1" min="8" max="8"/>
    <col width="9" customWidth="1" min="9" max="9"/>
    <col width="9" customWidth="1" min="10" max="10"/>
    <col width="10" customWidth="1" min="11" max="11"/>
    <col width="16" customWidth="1" min="12" max="12"/>
    <col width="14" customWidth="1" min="13" max="13"/>
    <col width="14" customWidth="1" min="14" max="14"/>
    <col width="14" customWidth="1" min="15" max="15"/>
    <col width="14" customWidth="1" min="16" max="16"/>
    <col width="10" customWidth="1" min="17" max="17"/>
    <col width="64" customWidth="1" min="18" max="18"/>
    <col width="44" customWidth="1" min="19" max="19"/>
  </cols>
  <sheetData>
    <row r="1" ht="26" customHeight="1">
      <c r="A1" s="1" t="inlineStr">
        <is>
          <t>04 · CHECKLIST USE CASE</t>
        </is>
      </c>
    </row>
    <row r="2">
      <c r="A2" s="2" t="inlineStr">
        <is>
          <t>34 UC · UC-SPA-01 → UC-SPA-34 · tên UC theo DA · trạng thái tại 25/10/2026: chưa triển khai (repo mới có foundation)</t>
        </is>
      </c>
    </row>
    <row r="3" ht="30" customHeight="1">
      <c r="A3" s="3" t="inlineStr">
        <is>
          <t>Chỉnh cột M–P. N/A = UC không có trên nền tảng đó. Tiến độ (Q) = trung bình các cột áp dụng: Đang làm 50%, Done chờ Test/Hoàn thành 100%. Ưu tiên, độ khó, sprint, tiêu chí nghiệm thu là ĐỀ XUẤT.</t>
        </is>
      </c>
    </row>
    <row r="4" ht="32" customHeight="1">
      <c r="A4" s="4" t="inlineStr">
        <is>
          <t>STT</t>
        </is>
      </c>
      <c r="B4" s="4" t="inlineStr">
        <is>
          <t>Mã UC</t>
        </is>
      </c>
      <c r="C4" s="4" t="inlineStr">
        <is>
          <t>Nghiệp vụ lớn</t>
        </is>
      </c>
      <c r="D4" s="4" t="inlineStr">
        <is>
          <t>Mã nhóm</t>
        </is>
      </c>
      <c r="E4" s="4" t="inlineStr">
        <is>
          <t>Tên Use Case (DA)</t>
        </is>
      </c>
      <c r="F4" s="4" t="inlineStr">
        <is>
          <t>Mô tả (DA)</t>
        </is>
      </c>
      <c r="G4" s="4" t="inlineStr">
        <is>
          <t>Actor</t>
        </is>
      </c>
      <c r="H4" s="4" t="inlineStr">
        <is>
          <t>Nguồn</t>
        </is>
      </c>
      <c r="I4" s="4" t="inlineStr">
        <is>
          <t>Ưu tiên</t>
        </is>
      </c>
      <c r="J4" s="4" t="inlineStr">
        <is>
          <t>Độ khó (1-10)</t>
        </is>
      </c>
      <c r="K4" s="4" t="inlineStr">
        <is>
          <t>Sprint</t>
        </is>
      </c>
      <c r="L4" s="4" t="inlineStr">
        <is>
          <t>Nền tảng</t>
        </is>
      </c>
      <c r="M4" s="4" t="inlineStr">
        <is>
          <t>Trạng thái BE</t>
        </is>
      </c>
      <c r="N4" s="4" t="inlineStr">
        <is>
          <t>Trạng thái FE Web</t>
        </is>
      </c>
      <c r="O4" s="4" t="inlineStr">
        <is>
          <t>Trạng thái Mobile</t>
        </is>
      </c>
      <c r="P4" s="4" t="inlineStr">
        <is>
          <t>Trạng thái QA</t>
        </is>
      </c>
      <c r="Q4" s="4" t="inlineStr">
        <is>
          <t>Tiến độ</t>
        </is>
      </c>
      <c r="R4" s="4" t="inlineStr">
        <is>
          <t>Tiêu chí nghiệm thu (ĐX)</t>
        </is>
      </c>
      <c r="S4" s="4" t="inlineStr">
        <is>
          <t>Ghi chú</t>
        </is>
      </c>
    </row>
    <row r="5">
      <c r="A5" s="24" t="n">
        <v>1</v>
      </c>
      <c r="B5" s="24" t="inlineStr">
        <is>
          <t>UC-SPA-01</t>
        </is>
      </c>
      <c r="C5" s="25" t="inlineStr">
        <is>
          <t>Tài khoản &amp; xác thực</t>
        </is>
      </c>
      <c r="D5" s="24" t="inlineStr">
        <is>
          <t>AUTH</t>
        </is>
      </c>
      <c r="E5" s="25" t="inlineStr">
        <is>
          <t>Đăng ký tài khoản</t>
        </is>
      </c>
      <c r="F5" s="25" t="inlineStr">
        <is>
          <t>Khách tạo tài khoản thông qua xác thực OTP email</t>
        </is>
      </c>
      <c r="G5" s="25" t="inlineStr">
        <is>
          <t>GUEST</t>
        </is>
      </c>
      <c r="H5" s="25" t="inlineStr">
        <is>
          <t>DA: có đặc tả</t>
        </is>
      </c>
      <c r="I5" s="24" t="inlineStr">
        <is>
          <t>P0</t>
        </is>
      </c>
      <c r="J5" s="24" t="n">
        <v>4</v>
      </c>
      <c r="K5" s="24" t="inlineStr">
        <is>
          <t>Sprint 1</t>
        </is>
      </c>
      <c r="L5" s="25" t="inlineStr">
        <is>
          <t>Web, Android</t>
        </is>
      </c>
      <c r="M5" s="24" t="inlineStr">
        <is>
          <t>Chưa làm</t>
        </is>
      </c>
      <c r="N5" s="24" t="inlineStr">
        <is>
          <t>Chưa làm</t>
        </is>
      </c>
      <c r="O5" s="24" t="inlineStr">
        <is>
          <t>Chưa làm</t>
        </is>
      </c>
      <c r="P5" s="24" t="inlineStr">
        <is>
          <t>Chưa làm</t>
        </is>
      </c>
      <c r="Q5" s="28">
        <f>IFERROR(ROUND((IF(M5="Hoàn thành",1,IF(M5="Done chờ Test",1,IF(M5="Đang làm",0.5,0)))+IF(N5="Hoàn thành",1,IF(N5="Done chờ Test",1,IF(N5="Đang làm",0.5,0)))+IF(O5="Hoàn thành",1,IF(O5="Done chờ Test",1,IF(O5="Đang làm",0.5,0)))+IF(P5="Hoàn thành",1,IF(P5="Done chờ Test",1,IF(P5="Đang làm",0.5,0))))/(4-COUNTIF(M5:P5,"N/A")),4),0)</f>
        <v/>
      </c>
      <c r="R5" s="25" t="inlineStr">
        <is>
          <t>Email, SĐT duy nhất; OTP 6 số hết hạn sau 5 phút, tối đa 5 lần nhập sai; chỉ tạo NguoiDung + KhachHang sau khi OTP đúng; chuyển đến đăng nhập</t>
        </is>
      </c>
      <c r="S5" s="25" t="inlineStr">
        <is>
          <t>Cần lưu tạm thông tin đăng ký + OTP (ERD chưa có bảng)</t>
        </is>
      </c>
    </row>
    <row r="6">
      <c r="A6" s="26" t="n">
        <v>2</v>
      </c>
      <c r="B6" s="26" t="inlineStr">
        <is>
          <t>UC-SPA-02</t>
        </is>
      </c>
      <c r="C6" s="27" t="inlineStr">
        <is>
          <t>Tài khoản &amp; xác thực</t>
        </is>
      </c>
      <c r="D6" s="26" t="inlineStr">
        <is>
          <t>AUTH</t>
        </is>
      </c>
      <c r="E6" s="27" t="inlineStr">
        <is>
          <t>Đăng nhập</t>
        </is>
      </c>
      <c r="F6" s="27" t="inlineStr">
        <is>
          <t>Người dùng đăng nhập để sử dụng chức năng theo vai trò</t>
        </is>
      </c>
      <c r="G6" s="27" t="inlineStr">
        <is>
          <t>CUS; STF; OWN</t>
        </is>
      </c>
      <c r="H6" s="27" t="inlineStr">
        <is>
          <t>DA: có đặc tả</t>
        </is>
      </c>
      <c r="I6" s="26" t="inlineStr">
        <is>
          <t>P0</t>
        </is>
      </c>
      <c r="J6" s="26" t="n">
        <v>4</v>
      </c>
      <c r="K6" s="26" t="inlineStr">
        <is>
          <t>Sprint 1</t>
        </is>
      </c>
      <c r="L6" s="27" t="inlineStr">
        <is>
          <t>Web, Android</t>
        </is>
      </c>
      <c r="M6" s="26" t="inlineStr">
        <is>
          <t>Chưa làm</t>
        </is>
      </c>
      <c r="N6" s="26" t="inlineStr">
        <is>
          <t>Chưa làm</t>
        </is>
      </c>
      <c r="O6" s="26" t="inlineStr">
        <is>
          <t>Chưa làm</t>
        </is>
      </c>
      <c r="P6" s="26" t="inlineStr">
        <is>
          <t>Chưa làm</t>
        </is>
      </c>
      <c r="Q6" s="29">
        <f>IFERROR(ROUND((IF(M6="Hoàn thành",1,IF(M6="Done chờ Test",1,IF(M6="Đang làm",0.5,0)))+IF(N6="Hoàn thành",1,IF(N6="Done chờ Test",1,IF(N6="Đang làm",0.5,0)))+IF(O6="Hoàn thành",1,IF(O6="Done chờ Test",1,IF(O6="Đang làm",0.5,0)))+IF(P6="Hoàn thành",1,IF(P6="Done chờ Test",1,IF(P6="Đang làm",0.5,0))))/(4-COUNTIF(M6:P6,"N/A")),4),0)</f>
        <v/>
      </c>
      <c r="R6" s="27" t="inlineStr">
        <is>
          <t>Đăng nhập bằng email/SĐT + mật khẩu; tài khoản bị khóa/ngừng hoạt động bị từ chối; điều hướng theo VaiTro; A1 quay lại thao tác đang dở</t>
        </is>
      </c>
      <c r="S6" s="27" t="inlineStr">
        <is>
          <t>JWT</t>
        </is>
      </c>
    </row>
    <row r="7">
      <c r="A7" s="24" t="n">
        <v>3</v>
      </c>
      <c r="B7" s="24" t="inlineStr">
        <is>
          <t>UC-SPA-03</t>
        </is>
      </c>
      <c r="C7" s="25" t="inlineStr">
        <is>
          <t>Tài khoản &amp; xác thực</t>
        </is>
      </c>
      <c r="D7" s="24" t="inlineStr">
        <is>
          <t>AUTH</t>
        </is>
      </c>
      <c r="E7" s="25" t="inlineStr">
        <is>
          <t>Quên mật khẩu</t>
        </is>
      </c>
      <c r="F7" s="25" t="inlineStr">
        <is>
          <t>Người dùng đặt lại mật khẩu bằng OTP gửi qua email</t>
        </is>
      </c>
      <c r="G7" s="25" t="inlineStr">
        <is>
          <t>CUS; STF; OWN</t>
        </is>
      </c>
      <c r="H7" s="25" t="inlineStr">
        <is>
          <t>DA: có đặc tả</t>
        </is>
      </c>
      <c r="I7" s="24" t="inlineStr">
        <is>
          <t>P1</t>
        </is>
      </c>
      <c r="J7" s="24" t="n">
        <v>4</v>
      </c>
      <c r="K7" s="24" t="inlineStr">
        <is>
          <t>Sprint 1</t>
        </is>
      </c>
      <c r="L7" s="25" t="inlineStr">
        <is>
          <t>Web, Android</t>
        </is>
      </c>
      <c r="M7" s="24" t="inlineStr">
        <is>
          <t>Chưa làm</t>
        </is>
      </c>
      <c r="N7" s="24" t="inlineStr">
        <is>
          <t>Chưa làm</t>
        </is>
      </c>
      <c r="O7" s="24" t="inlineStr">
        <is>
          <t>Chưa làm</t>
        </is>
      </c>
      <c r="P7" s="24" t="inlineStr">
        <is>
          <t>Chưa làm</t>
        </is>
      </c>
      <c r="Q7" s="28">
        <f>IFERROR(ROUND((IF(M7="Hoàn thành",1,IF(M7="Done chờ Test",1,IF(M7="Đang làm",0.5,0)))+IF(N7="Hoàn thành",1,IF(N7="Done chờ Test",1,IF(N7="Đang làm",0.5,0)))+IF(O7="Hoàn thành",1,IF(O7="Done chờ Test",1,IF(O7="Đang làm",0.5,0)))+IF(P7="Hoàn thành",1,IF(P7="Done chờ Test",1,IF(P7="Đang làm",0.5,0))))/(4-COUNTIF(M7:P7,"N/A")),4),0)</f>
        <v/>
      </c>
      <c r="R7" s="25" t="inlineStr">
        <is>
          <t>OTP dùng 1 lần, hết hạn 5 phút; mật khẩu mới đủ mạnh và khớp xác nhận; đặt lại xong thu hồi các phiên đăng nhập</t>
        </is>
      </c>
      <c r="S7" s="25" t="inlineStr">
        <is>
          <t>DA ghi chú: sơ đồ chưa có nhánh mật khẩu mới không hợp lệ</t>
        </is>
      </c>
    </row>
    <row r="8">
      <c r="A8" s="26" t="n">
        <v>4</v>
      </c>
      <c r="B8" s="26" t="inlineStr">
        <is>
          <t>UC-SPA-04</t>
        </is>
      </c>
      <c r="C8" s="27" t="inlineStr">
        <is>
          <t>Tài khoản &amp; xác thực</t>
        </is>
      </c>
      <c r="D8" s="26" t="inlineStr">
        <is>
          <t>AUTH</t>
        </is>
      </c>
      <c r="E8" s="27" t="inlineStr">
        <is>
          <t>Cập nhật thông tin tài khoản</t>
        </is>
      </c>
      <c r="F8" s="27" t="inlineStr">
        <is>
          <t>Người dùng chỉnh sửa thông tin cá nhân</t>
        </is>
      </c>
      <c r="G8" s="27" t="inlineStr">
        <is>
          <t>CUS; STF; OWN</t>
        </is>
      </c>
      <c r="H8" s="27" t="inlineStr">
        <is>
          <t>DA: có đặc tả</t>
        </is>
      </c>
      <c r="I8" s="26" t="inlineStr">
        <is>
          <t>P1</t>
        </is>
      </c>
      <c r="J8" s="26" t="n">
        <v>2</v>
      </c>
      <c r="K8" s="26" t="inlineStr">
        <is>
          <t>Sprint 1</t>
        </is>
      </c>
      <c r="L8" s="27" t="inlineStr">
        <is>
          <t>Web, Android</t>
        </is>
      </c>
      <c r="M8" s="26" t="inlineStr">
        <is>
          <t>Chưa làm</t>
        </is>
      </c>
      <c r="N8" s="26" t="inlineStr">
        <is>
          <t>Chưa làm</t>
        </is>
      </c>
      <c r="O8" s="26" t="inlineStr">
        <is>
          <t>Chưa làm</t>
        </is>
      </c>
      <c r="P8" s="26" t="inlineStr">
        <is>
          <t>Chưa làm</t>
        </is>
      </c>
      <c r="Q8" s="29">
        <f>IFERROR(ROUND((IF(M8="Hoàn thành",1,IF(M8="Done chờ Test",1,IF(M8="Đang làm",0.5,0)))+IF(N8="Hoàn thành",1,IF(N8="Done chờ Test",1,IF(N8="Đang làm",0.5,0)))+IF(O8="Hoàn thành",1,IF(O8="Done chờ Test",1,IF(O8="Đang làm",0.5,0)))+IF(P8="Hoàn thành",1,IF(P8="Done chờ Test",1,IF(P8="Đang làm",0.5,0))))/(4-COUNTIF(M8:P8,"N/A")),4),0)</f>
        <v/>
      </c>
      <c r="R8" s="27" t="inlineStr">
        <is>
          <t>Sửa HoTen, SDT, NgaySinh, GioiTinh, AnhDaiDien; không tự đổi VaiTro/TrangThai; SĐT không trùng</t>
        </is>
      </c>
      <c r="S8" s="27" t="inlineStr"/>
    </row>
    <row r="9">
      <c r="A9" s="24" t="n">
        <v>5</v>
      </c>
      <c r="B9" s="24" t="inlineStr">
        <is>
          <t>UC-SPA-05</t>
        </is>
      </c>
      <c r="C9" s="25" t="inlineStr">
        <is>
          <t>Tài khoản &amp; xác thực</t>
        </is>
      </c>
      <c r="D9" s="24" t="inlineStr">
        <is>
          <t>AUTH</t>
        </is>
      </c>
      <c r="E9" s="25" t="inlineStr">
        <is>
          <t>Quản lý tài khoản người dùng</t>
        </is>
      </c>
      <c r="F9" s="25" t="inlineStr">
        <is>
          <t>Chủ spa xem hoặc chỉnh sửa và khóa hoặc mở tài khoản</t>
        </is>
      </c>
      <c r="G9" s="25" t="inlineStr">
        <is>
          <t>OWN</t>
        </is>
      </c>
      <c r="H9" s="25" t="inlineStr">
        <is>
          <t>DA: có đặc tả</t>
        </is>
      </c>
      <c r="I9" s="24" t="inlineStr">
        <is>
          <t>P1</t>
        </is>
      </c>
      <c r="J9" s="24" t="n">
        <v>3</v>
      </c>
      <c r="K9" s="24" t="inlineStr">
        <is>
          <t>Sprint 2</t>
        </is>
      </c>
      <c r="L9" s="25" t="inlineStr">
        <is>
          <t>Web</t>
        </is>
      </c>
      <c r="M9" s="24" t="inlineStr">
        <is>
          <t>Chưa làm</t>
        </is>
      </c>
      <c r="N9" s="24" t="inlineStr">
        <is>
          <t>Chưa làm</t>
        </is>
      </c>
      <c r="O9" s="24" t="inlineStr">
        <is>
          <t>N/A</t>
        </is>
      </c>
      <c r="P9" s="24" t="inlineStr">
        <is>
          <t>Chưa làm</t>
        </is>
      </c>
      <c r="Q9" s="28">
        <f>IFERROR(ROUND((IF(M9="Hoàn thành",1,IF(M9="Done chờ Test",1,IF(M9="Đang làm",0.5,0)))+IF(N9="Hoàn thành",1,IF(N9="Done chờ Test",1,IF(N9="Đang làm",0.5,0)))+IF(O9="Hoàn thành",1,IF(O9="Done chờ Test",1,IF(O9="Đang làm",0.5,0)))+IF(P9="Hoàn thành",1,IF(P9="Done chờ Test",1,IF(P9="Đang làm",0.5,0))))/(4-COUNTIF(M9:P9,"N/A")),4),0)</f>
        <v/>
      </c>
      <c r="R9" s="25" t="inlineStr">
        <is>
          <t>Tìm theo tên/email/SĐT/vai trò; khóa tài khoản thì thu hồi phiên đăng nhập; chủ spa không tự khóa chính mình</t>
        </is>
      </c>
      <c r="S9" s="25" t="inlineStr"/>
    </row>
    <row r="10">
      <c r="A10" s="26" t="n">
        <v>6</v>
      </c>
      <c r="B10" s="26" t="inlineStr">
        <is>
          <t>UC-SPA-06</t>
        </is>
      </c>
      <c r="C10" s="27" t="inlineStr">
        <is>
          <t>Dịch vụ &amp; gói dịch vụ</t>
        </is>
      </c>
      <c r="D10" s="26" t="inlineStr">
        <is>
          <t>CAT</t>
        </is>
      </c>
      <c r="E10" s="27" t="inlineStr">
        <is>
          <t>Tìm kiếm dịch vụ và gói dịch vụ</t>
        </is>
      </c>
      <c r="F10" s="27" t="inlineStr">
        <is>
          <t>Khách vãng lai hoặc khách hàng tìm kiếm các dịch vụ, gói dịch vụ chăm sóc da đang có trên hệ thống</t>
        </is>
      </c>
      <c r="G10" s="27" t="inlineStr">
        <is>
          <t>GUEST; CUS</t>
        </is>
      </c>
      <c r="H10" s="27" t="inlineStr">
        <is>
          <t>DA: có đặc tả</t>
        </is>
      </c>
      <c r="I10" s="26" t="inlineStr">
        <is>
          <t>P0</t>
        </is>
      </c>
      <c r="J10" s="26" t="n">
        <v>4</v>
      </c>
      <c r="K10" s="26" t="inlineStr">
        <is>
          <t>Sprint 1</t>
        </is>
      </c>
      <c r="L10" s="27" t="inlineStr">
        <is>
          <t>Web, Android</t>
        </is>
      </c>
      <c r="M10" s="26" t="inlineStr">
        <is>
          <t>Chưa làm</t>
        </is>
      </c>
      <c r="N10" s="26" t="inlineStr">
        <is>
          <t>Chưa làm</t>
        </is>
      </c>
      <c r="O10" s="26" t="inlineStr">
        <is>
          <t>Chưa làm</t>
        </is>
      </c>
      <c r="P10" s="26" t="inlineStr">
        <is>
          <t>Chưa làm</t>
        </is>
      </c>
      <c r="Q10" s="29">
        <f>IFERROR(ROUND((IF(M10="Hoàn thành",1,IF(M10="Done chờ Test",1,IF(M10="Đang làm",0.5,0)))+IF(N10="Hoàn thành",1,IF(N10="Done chờ Test",1,IF(N10="Đang làm",0.5,0)))+IF(O10="Hoàn thành",1,IF(O10="Done chờ Test",1,IF(O10="Đang làm",0.5,0)))+IF(P10="Hoàn thành",1,IF(P10="Done chờ Test",1,IF(P10="Đang làm",0.5,0))))/(4-COUNTIF(M10:P10,"N/A")),4),0)</f>
        <v/>
      </c>
      <c r="R10" s="27" t="inlineStr">
        <is>
          <t>Chỉ hiển thị mục TrangThai = DangBan; lọc theo từ khóa, danh mục (LoaiDichVu), khoảng giá; khách đã đăng nhập lọc 'chỉ dịch vụ đã từng sử dụng'; phân trang</t>
        </is>
      </c>
      <c r="S10" s="27" t="inlineStr">
        <is>
          <t>A3: hỏi trợ lý AI ngay từ trang tìm kiếm</t>
        </is>
      </c>
    </row>
    <row r="11">
      <c r="A11" s="24" t="n">
        <v>7</v>
      </c>
      <c r="B11" s="24" t="inlineStr">
        <is>
          <t>UC-SPA-07</t>
        </is>
      </c>
      <c r="C11" s="25" t="inlineStr">
        <is>
          <t>Dịch vụ &amp; gói dịch vụ</t>
        </is>
      </c>
      <c r="D11" s="24" t="inlineStr">
        <is>
          <t>CAT</t>
        </is>
      </c>
      <c r="E11" s="25" t="inlineStr">
        <is>
          <t>Xem chi tiết dịch vụ, gói dịch vụ</t>
        </is>
      </c>
      <c r="F11" s="25" t="inlineStr">
        <is>
          <t>Xem mô tả, thời lượng, giá, hình ảnh; với gói: dịch vụ thành phần, số buổi, thứ tự, thời hạn</t>
        </is>
      </c>
      <c r="G11" s="25" t="inlineStr">
        <is>
          <t>GUEST; CUS</t>
        </is>
      </c>
      <c r="H11" s="25" t="inlineStr">
        <is>
          <t>DA: chỉ liệt kê, chưa đặc tả</t>
        </is>
      </c>
      <c r="I11" s="24" t="inlineStr">
        <is>
          <t>P0</t>
        </is>
      </c>
      <c r="J11" s="24" t="n">
        <v>2</v>
      </c>
      <c r="K11" s="24" t="inlineStr">
        <is>
          <t>Sprint 1</t>
        </is>
      </c>
      <c r="L11" s="25" t="inlineStr">
        <is>
          <t>Web, Android</t>
        </is>
      </c>
      <c r="M11" s="24" t="inlineStr">
        <is>
          <t>Chưa làm</t>
        </is>
      </c>
      <c r="N11" s="24" t="inlineStr">
        <is>
          <t>Chưa làm</t>
        </is>
      </c>
      <c r="O11" s="24" t="inlineStr">
        <is>
          <t>Chưa làm</t>
        </is>
      </c>
      <c r="P11" s="24" t="inlineStr">
        <is>
          <t>Chưa làm</t>
        </is>
      </c>
      <c r="Q11" s="28">
        <f>IFERROR(ROUND((IF(M11="Hoàn thành",1,IF(M11="Done chờ Test",1,IF(M11="Đang làm",0.5,0)))+IF(N11="Hoàn thành",1,IF(N11="Done chờ Test",1,IF(N11="Đang làm",0.5,0)))+IF(O11="Hoàn thành",1,IF(O11="Done chờ Test",1,IF(O11="Đang làm",0.5,0)))+IF(P11="Hoàn thành",1,IF(P11="Done chờ Test",1,IF(P11="Đang làm",0.5,0))))/(4-COUNTIF(M11:P11,"N/A")),4),0)</f>
        <v/>
      </c>
      <c r="R11" s="25" t="inlineStr">
        <is>
          <t>Gói hiển thị GoiDichVuChiTiet theo ThuTu; có nút Thêm vào giỏ / Đặt ngay (dịch vụ) / Mua gói; mục ngừng bán trả 404 với khách</t>
        </is>
      </c>
      <c r="S11" s="25" t="inlineStr">
        <is>
          <t>Có trong danh sách UC của Khách vãng lai nhưng chưa có bảng đặc tả</t>
        </is>
      </c>
    </row>
    <row r="12">
      <c r="A12" s="26" t="n">
        <v>8</v>
      </c>
      <c r="B12" s="26" t="inlineStr">
        <is>
          <t>UC-SPA-08</t>
        </is>
      </c>
      <c r="C12" s="27" t="inlineStr">
        <is>
          <t>Dịch vụ &amp; gói dịch vụ</t>
        </is>
      </c>
      <c r="D12" s="26" t="inlineStr">
        <is>
          <t>CAT</t>
        </is>
      </c>
      <c r="E12" s="27" t="inlineStr">
        <is>
          <t>Xem thông tin giới thiệu về spa</t>
        </is>
      </c>
      <c r="F12" s="27" t="inlineStr">
        <is>
          <t>Người dùng xem thông tin giới thiệu và liên hệ của spa</t>
        </is>
      </c>
      <c r="G12" s="27" t="inlineStr">
        <is>
          <t>GUEST; CUS</t>
        </is>
      </c>
      <c r="H12" s="27" t="inlineStr">
        <is>
          <t>DA: có đặc tả</t>
        </is>
      </c>
      <c r="I12" s="26" t="inlineStr">
        <is>
          <t>P2</t>
        </is>
      </c>
      <c r="J12" s="26" t="n">
        <v>1</v>
      </c>
      <c r="K12" s="26" t="inlineStr">
        <is>
          <t>Sprint 1</t>
        </is>
      </c>
      <c r="L12" s="27" t="inlineStr">
        <is>
          <t>Web, Android</t>
        </is>
      </c>
      <c r="M12" s="26" t="inlineStr">
        <is>
          <t>Chưa làm</t>
        </is>
      </c>
      <c r="N12" s="26" t="inlineStr">
        <is>
          <t>Chưa làm</t>
        </is>
      </c>
      <c r="O12" s="26" t="inlineStr">
        <is>
          <t>Chưa làm</t>
        </is>
      </c>
      <c r="P12" s="26" t="inlineStr">
        <is>
          <t>Chưa làm</t>
        </is>
      </c>
      <c r="Q12" s="29">
        <f>IFERROR(ROUND((IF(M12="Hoàn thành",1,IF(M12="Done chờ Test",1,IF(M12="Đang làm",0.5,0)))+IF(N12="Hoàn thành",1,IF(N12="Done chờ Test",1,IF(N12="Đang làm",0.5,0)))+IF(O12="Hoàn thành",1,IF(O12="Done chờ Test",1,IF(O12="Đang làm",0.5,0)))+IF(P12="Hoàn thành",1,IF(P12="Done chờ Test",1,IF(P12="Đang làm",0.5,0))))/(4-COUNTIF(M12:P12,"N/A")),4),0)</f>
        <v/>
      </c>
      <c r="R12" s="27" t="inlineStr">
        <is>
          <t>Hiển thị giới thiệu, địa chỉ, SĐT, giờ mở cửa</t>
        </is>
      </c>
      <c r="S12" s="27" t="inlineStr">
        <is>
          <t>Luồng rẽ nhánh/ngoại lệ trong DA đang chép từ UC Tìm kiếm; ERD chưa có bảng thông tin spa</t>
        </is>
      </c>
    </row>
    <row r="13">
      <c r="A13" s="24" t="n">
        <v>9</v>
      </c>
      <c r="B13" s="24" t="inlineStr">
        <is>
          <t>UC-SPA-09</t>
        </is>
      </c>
      <c r="C13" s="25" t="inlineStr">
        <is>
          <t>Dịch vụ &amp; gói dịch vụ</t>
        </is>
      </c>
      <c r="D13" s="24" t="inlineStr">
        <is>
          <t>CAT</t>
        </is>
      </c>
      <c r="E13" s="25" t="inlineStr">
        <is>
          <t>Quản lý dịch vụ và gói dịch vụ</t>
        </is>
      </c>
      <c r="F13" s="25" t="inlineStr">
        <is>
          <t>Chủ spa thêm hoặc sửa hoặc ngừng bán sản phẩm</t>
        </is>
      </c>
      <c r="G13" s="25" t="inlineStr">
        <is>
          <t>OWN</t>
        </is>
      </c>
      <c r="H13" s="25" t="inlineStr">
        <is>
          <t>DA: có đặc tả</t>
        </is>
      </c>
      <c r="I13" s="24" t="inlineStr">
        <is>
          <t>P0</t>
        </is>
      </c>
      <c r="J13" s="24" t="n">
        <v>5</v>
      </c>
      <c r="K13" s="24" t="inlineStr">
        <is>
          <t>Sprint 1</t>
        </is>
      </c>
      <c r="L13" s="25" t="inlineStr">
        <is>
          <t>Web</t>
        </is>
      </c>
      <c r="M13" s="24" t="inlineStr">
        <is>
          <t>Chưa làm</t>
        </is>
      </c>
      <c r="N13" s="24" t="inlineStr">
        <is>
          <t>Chưa làm</t>
        </is>
      </c>
      <c r="O13" s="24" t="inlineStr">
        <is>
          <t>N/A</t>
        </is>
      </c>
      <c r="P13" s="24" t="inlineStr">
        <is>
          <t>Chưa làm</t>
        </is>
      </c>
      <c r="Q13" s="28">
        <f>IFERROR(ROUND((IF(M13="Hoàn thành",1,IF(M13="Done chờ Test",1,IF(M13="Đang làm",0.5,0)))+IF(N13="Hoàn thành",1,IF(N13="Done chờ Test",1,IF(N13="Đang làm",0.5,0)))+IF(O13="Hoàn thành",1,IF(O13="Done chờ Test",1,IF(O13="Đang làm",0.5,0)))+IF(P13="Hoàn thành",1,IF(P13="Done chờ Test",1,IF(P13="Đang làm",0.5,0))))/(4-COUNTIF(M13:P13,"N/A")),4),0)</f>
        <v/>
      </c>
      <c r="R13" s="25" t="inlineStr">
        <is>
          <t>Dịch vụ: ThoiLuongPhut &gt; 0, Gia ≥ 0; gói: ≥ 1 dịch vụ thành phần, SoBuoi &gt; 0, ThuTu &gt; 0, KhoangCachNgayToiThieu ≥ 0, ThoiHanNgay &gt; 0; ngừng bán thay vì xóa; sửa không ảnh hưởng đơn/gói đã mua (đã lưu snapshot)</t>
        </is>
      </c>
      <c r="S13" s="25" t="inlineStr"/>
    </row>
    <row r="14">
      <c r="A14" s="26" t="n">
        <v>10</v>
      </c>
      <c r="B14" s="26" t="inlineStr">
        <is>
          <t>UC-SPA-10</t>
        </is>
      </c>
      <c r="C14" s="27" t="inlineStr">
        <is>
          <t>Giỏ hàng, đơn hàng &amp; thanh toán</t>
        </is>
      </c>
      <c r="D14" s="26" t="inlineStr">
        <is>
          <t>ORD</t>
        </is>
      </c>
      <c r="E14" s="27" t="inlineStr">
        <is>
          <t>Quản lý giỏ hàng</t>
        </is>
      </c>
      <c r="F14" s="27" t="inlineStr">
        <is>
          <t>Khách thêm hoặc xóa sản phẩm và chuyển sang thanh toán</t>
        </is>
      </c>
      <c r="G14" s="27" t="inlineStr">
        <is>
          <t>CUS</t>
        </is>
      </c>
      <c r="H14" s="27" t="inlineStr">
        <is>
          <t>DA: có đặc tả</t>
        </is>
      </c>
      <c r="I14" s="26" t="inlineStr">
        <is>
          <t>P1</t>
        </is>
      </c>
      <c r="J14" s="26" t="n">
        <v>3</v>
      </c>
      <c r="K14" s="26" t="inlineStr">
        <is>
          <t>Sprint 2</t>
        </is>
      </c>
      <c r="L14" s="27" t="inlineStr">
        <is>
          <t>Web, Android</t>
        </is>
      </c>
      <c r="M14" s="26" t="inlineStr">
        <is>
          <t>Chưa làm</t>
        </is>
      </c>
      <c r="N14" s="26" t="inlineStr">
        <is>
          <t>Chưa làm</t>
        </is>
      </c>
      <c r="O14" s="26" t="inlineStr">
        <is>
          <t>Chưa làm</t>
        </is>
      </c>
      <c r="P14" s="26" t="inlineStr">
        <is>
          <t>Chưa làm</t>
        </is>
      </c>
      <c r="Q14" s="29">
        <f>IFERROR(ROUND((IF(M14="Hoàn thành",1,IF(M14="Done chờ Test",1,IF(M14="Đang làm",0.5,0)))+IF(N14="Hoàn thành",1,IF(N14="Done chờ Test",1,IF(N14="Đang làm",0.5,0)))+IF(O14="Hoàn thành",1,IF(O14="Done chờ Test",1,IF(O14="Đang làm",0.5,0)))+IF(P14="Hoàn thành",1,IF(P14="Done chờ Test",1,IF(P14="Đang làm",0.5,0))))/(4-COUNTIF(M14:P14,"N/A")),4),0)</f>
        <v/>
      </c>
      <c r="R14" s="27" t="inlineStr">
        <is>
          <t>Mỗi khách 1 giỏ (GioHang.IdKhachHang unique); không thêm trùng sản phẩm; DonGia ghi nhận khi thêm chỉ để tham khảo, giá thật lấy lại khi thanh toán</t>
        </is>
      </c>
      <c r="S14" s="27" t="inlineStr"/>
    </row>
    <row r="15">
      <c r="A15" s="24" t="n">
        <v>11</v>
      </c>
      <c r="B15" s="24" t="inlineStr">
        <is>
          <t>UC-SPA-11</t>
        </is>
      </c>
      <c r="C15" s="25" t="inlineStr">
        <is>
          <t>Giỏ hàng, đơn hàng &amp; thanh toán</t>
        </is>
      </c>
      <c r="D15" s="24" t="inlineStr">
        <is>
          <t>ORD</t>
        </is>
      </c>
      <c r="E15" s="25" t="inlineStr">
        <is>
          <t>Thanh toán trực tuyến</t>
        </is>
      </c>
      <c r="F15" s="25" t="inlineStr">
        <is>
          <t>Khách thanh toán đơn qua cổng thanh toán online</t>
        </is>
      </c>
      <c r="G15" s="25" t="inlineStr">
        <is>
          <t>CUS; PGW</t>
        </is>
      </c>
      <c r="H15" s="25" t="inlineStr">
        <is>
          <t>DA: có đặc tả</t>
        </is>
      </c>
      <c r="I15" s="24" t="inlineStr">
        <is>
          <t>P0</t>
        </is>
      </c>
      <c r="J15" s="24" t="n">
        <v>8</v>
      </c>
      <c r="K15" s="24" t="inlineStr">
        <is>
          <t>Sprint 2</t>
        </is>
      </c>
      <c r="L15" s="25" t="inlineStr">
        <is>
          <t>Web, Android</t>
        </is>
      </c>
      <c r="M15" s="24" t="inlineStr">
        <is>
          <t>Chưa làm</t>
        </is>
      </c>
      <c r="N15" s="24" t="inlineStr">
        <is>
          <t>Chưa làm</t>
        </is>
      </c>
      <c r="O15" s="24" t="inlineStr">
        <is>
          <t>Chưa làm</t>
        </is>
      </c>
      <c r="P15" s="24" t="inlineStr">
        <is>
          <t>Chưa làm</t>
        </is>
      </c>
      <c r="Q15" s="28">
        <f>IFERROR(ROUND((IF(M15="Hoàn thành",1,IF(M15="Done chờ Test",1,IF(M15="Đang làm",0.5,0)))+IF(N15="Hoàn thành",1,IF(N15="Done chờ Test",1,IF(N15="Đang làm",0.5,0)))+IF(O15="Hoàn thành",1,IF(O15="Done chờ Test",1,IF(O15="Đang làm",0.5,0)))+IF(P15="Hoàn thành",1,IF(P15="Done chờ Test",1,IF(P15="Đang làm",0.5,0))))/(4-COUNTIF(M15:P15,"N/A")),4),0)</f>
        <v/>
      </c>
      <c r="R15" s="25" t="inlineStr">
        <is>
          <t>Kiểm tra sản phẩm còn bán và lấy giá hiện tại; áp mã KM (A1); kết quả từ cổng phải được xác thực; thành công → DonHang DaThanhToan và tạo quyền sử dụng (DichVuKhachHang/GoiKhachHang); thất bại cho thử lại trên đơn còn hạn</t>
        </is>
      </c>
      <c r="S15" s="25" t="inlineStr">
        <is>
          <t>Cổng thanh toán chưa chốt</t>
        </is>
      </c>
    </row>
    <row r="16">
      <c r="A16" s="26" t="n">
        <v>12</v>
      </c>
      <c r="B16" s="26" t="inlineStr">
        <is>
          <t>UC-SPA-12</t>
        </is>
      </c>
      <c r="C16" s="27" t="inlineStr">
        <is>
          <t>Giỏ hàng, đơn hàng &amp; thanh toán</t>
        </is>
      </c>
      <c r="D16" s="26" t="inlineStr">
        <is>
          <t>ORD</t>
        </is>
      </c>
      <c r="E16" s="27" t="inlineStr">
        <is>
          <t>Quản lý đơn hàng đã mua</t>
        </is>
      </c>
      <c r="F16" s="27" t="inlineStr">
        <is>
          <t>Khách xem đơn và thực hiện thanh toán lại hoặc hủy đơn chưa thanh toán</t>
        </is>
      </c>
      <c r="G16" s="27" t="inlineStr">
        <is>
          <t>CUS</t>
        </is>
      </c>
      <c r="H16" s="27" t="inlineStr">
        <is>
          <t>DA: có đặc tả</t>
        </is>
      </c>
      <c r="I16" s="26" t="inlineStr">
        <is>
          <t>P1</t>
        </is>
      </c>
      <c r="J16" s="26" t="n">
        <v>3</v>
      </c>
      <c r="K16" s="26" t="inlineStr">
        <is>
          <t>Sprint 2</t>
        </is>
      </c>
      <c r="L16" s="27" t="inlineStr">
        <is>
          <t>Web, Android</t>
        </is>
      </c>
      <c r="M16" s="26" t="inlineStr">
        <is>
          <t>Chưa làm</t>
        </is>
      </c>
      <c r="N16" s="26" t="inlineStr">
        <is>
          <t>Chưa làm</t>
        </is>
      </c>
      <c r="O16" s="26" t="inlineStr">
        <is>
          <t>Chưa làm</t>
        </is>
      </c>
      <c r="P16" s="26" t="inlineStr">
        <is>
          <t>Chưa làm</t>
        </is>
      </c>
      <c r="Q16" s="29">
        <f>IFERROR(ROUND((IF(M16="Hoàn thành",1,IF(M16="Done chờ Test",1,IF(M16="Đang làm",0.5,0)))+IF(N16="Hoàn thành",1,IF(N16="Done chờ Test",1,IF(N16="Đang làm",0.5,0)))+IF(O16="Hoàn thành",1,IF(O16="Done chờ Test",1,IF(O16="Đang làm",0.5,0)))+IF(P16="Hoàn thành",1,IF(P16="Done chờ Test",1,IF(P16="Đang làm",0.5,0))))/(4-COUNTIF(M16:P16,"N/A")),4),0)</f>
        <v/>
      </c>
      <c r="R16" s="27" t="inlineStr">
        <is>
          <t>Chỉ đơn của chính khách; thanh toán lại khi đơn ChoThanhToan và chưa quá HetHanThanhToanLuc; hủy chỉ khi chưa thanh toán (giải phóng giữ chỗ nếu có)</t>
        </is>
      </c>
      <c r="S16" s="27" t="inlineStr"/>
    </row>
    <row r="17">
      <c r="A17" s="24" t="n">
        <v>13</v>
      </c>
      <c r="B17" s="24" t="inlineStr">
        <is>
          <t>UC-SPA-13</t>
        </is>
      </c>
      <c r="C17" s="25" t="inlineStr">
        <is>
          <t>Giỏ hàng, đơn hàng &amp; thanh toán</t>
        </is>
      </c>
      <c r="D17" s="24" t="inlineStr">
        <is>
          <t>ORD</t>
        </is>
      </c>
      <c r="E17" s="25" t="inlineStr">
        <is>
          <t>Quản lý đơn hàng</t>
        </is>
      </c>
      <c r="F17" s="25" t="inlineStr">
        <is>
          <t>Chủ spa xem đơn và hủy đơn chưa thanh toán</t>
        </is>
      </c>
      <c r="G17" s="25" t="inlineStr">
        <is>
          <t>OWN</t>
        </is>
      </c>
      <c r="H17" s="25" t="inlineStr">
        <is>
          <t>DA: có đặc tả</t>
        </is>
      </c>
      <c r="I17" s="24" t="inlineStr">
        <is>
          <t>P1</t>
        </is>
      </c>
      <c r="J17" s="24" t="n">
        <v>3</v>
      </c>
      <c r="K17" s="24" t="inlineStr">
        <is>
          <t>Sprint 2</t>
        </is>
      </c>
      <c r="L17" s="25" t="inlineStr">
        <is>
          <t>Web</t>
        </is>
      </c>
      <c r="M17" s="24" t="inlineStr">
        <is>
          <t>Chưa làm</t>
        </is>
      </c>
      <c r="N17" s="24" t="inlineStr">
        <is>
          <t>Chưa làm</t>
        </is>
      </c>
      <c r="O17" s="24" t="inlineStr">
        <is>
          <t>N/A</t>
        </is>
      </c>
      <c r="P17" s="24" t="inlineStr">
        <is>
          <t>Chưa làm</t>
        </is>
      </c>
      <c r="Q17" s="28">
        <f>IFERROR(ROUND((IF(M17="Hoàn thành",1,IF(M17="Done chờ Test",1,IF(M17="Đang làm",0.5,0)))+IF(N17="Hoàn thành",1,IF(N17="Done chờ Test",1,IF(N17="Đang làm",0.5,0)))+IF(O17="Hoàn thành",1,IF(O17="Done chờ Test",1,IF(O17="Đang làm",0.5,0)))+IF(P17="Hoàn thành",1,IF(P17="Done chờ Test",1,IF(P17="Đang làm",0.5,0))))/(4-COUNTIF(M17:P17,"N/A")),4),0)</f>
        <v/>
      </c>
      <c r="R17" s="25" t="inlineStr">
        <is>
          <t>Tìm theo mã đơn, khách, trạng thái, khoảng ngày; hủy cần xác nhận và chỉ áp dụng đơn chưa thanh toán</t>
        </is>
      </c>
      <c r="S17" s="25" t="inlineStr"/>
    </row>
    <row r="18">
      <c r="A18" s="26" t="n">
        <v>14</v>
      </c>
      <c r="B18" s="26" t="inlineStr">
        <is>
          <t>UC-SPA-14</t>
        </is>
      </c>
      <c r="C18" s="27" t="inlineStr">
        <is>
          <t>Khuyến mãi</t>
        </is>
      </c>
      <c r="D18" s="26" t="inlineStr">
        <is>
          <t>PRM</t>
        </is>
      </c>
      <c r="E18" s="27" t="inlineStr">
        <is>
          <t>Quản lý chương trình khuyến mãi</t>
        </is>
      </c>
      <c r="F18" s="27" t="inlineStr">
        <is>
          <t>Chủ spa thêm hoặc sửa hoặc ngừng khuyến mãi</t>
        </is>
      </c>
      <c r="G18" s="27" t="inlineStr">
        <is>
          <t>OWN</t>
        </is>
      </c>
      <c r="H18" s="27" t="inlineStr">
        <is>
          <t>DA: có đặc tả</t>
        </is>
      </c>
      <c r="I18" s="26" t="inlineStr">
        <is>
          <t>P1</t>
        </is>
      </c>
      <c r="J18" s="26" t="n">
        <v>4</v>
      </c>
      <c r="K18" s="26" t="inlineStr">
        <is>
          <t>Sprint 2</t>
        </is>
      </c>
      <c r="L18" s="27" t="inlineStr">
        <is>
          <t>Web</t>
        </is>
      </c>
      <c r="M18" s="26" t="inlineStr">
        <is>
          <t>Chưa làm</t>
        </is>
      </c>
      <c r="N18" s="26" t="inlineStr">
        <is>
          <t>Chưa làm</t>
        </is>
      </c>
      <c r="O18" s="26" t="inlineStr">
        <is>
          <t>N/A</t>
        </is>
      </c>
      <c r="P18" s="26" t="inlineStr">
        <is>
          <t>Chưa làm</t>
        </is>
      </c>
      <c r="Q18" s="29">
        <f>IFERROR(ROUND((IF(M18="Hoàn thành",1,IF(M18="Done chờ Test",1,IF(M18="Đang làm",0.5,0)))+IF(N18="Hoàn thành",1,IF(N18="Done chờ Test",1,IF(N18="Đang làm",0.5,0)))+IF(O18="Hoàn thành",1,IF(O18="Done chờ Test",1,IF(O18="Đang làm",0.5,0)))+IF(P18="Hoàn thành",1,IF(P18="Done chờ Test",1,IF(P18="Đang làm",0.5,0))))/(4-COUNTIF(M18:P18,"N/A")),4),0)</f>
        <v/>
      </c>
      <c r="R18" s="27" t="inlineStr">
        <is>
          <t>MaCode duy nhất; GiaTri &gt; 0 và ≤ 100 nếu phần trăm; NgayKetThuc &gt; NgayBatDau; giới hạn mỗi khách và tổng số lượng; ngừng thay vì xóa</t>
        </is>
      </c>
      <c r="S18" s="27" t="inlineStr"/>
    </row>
    <row r="19">
      <c r="A19" s="24" t="n">
        <v>15</v>
      </c>
      <c r="B19" s="24" t="inlineStr">
        <is>
          <t>UC-SPA-15</t>
        </is>
      </c>
      <c r="C19" s="25" t="inlineStr">
        <is>
          <t>Đặt lịch &amp; lịch hẹn</t>
        </is>
      </c>
      <c r="D19" s="24" t="inlineStr">
        <is>
          <t>BKG</t>
        </is>
      </c>
      <c r="E19" s="25" t="inlineStr">
        <is>
          <t>Đặt lịch hẹn</t>
        </is>
      </c>
      <c r="F19" s="25" t="inlineStr">
        <is>
          <t>Luồng 1: khách chọn dịch vụ, chọn lịch rồi thanh toán để xác nhận. Luồng 2: đặt lịch từ dịch vụ và gói của tôi</t>
        </is>
      </c>
      <c r="G19" s="25" t="inlineStr">
        <is>
          <t>CUS</t>
        </is>
      </c>
      <c r="H19" s="25" t="inlineStr">
        <is>
          <t>DA: có đặc tả</t>
        </is>
      </c>
      <c r="I19" s="24" t="inlineStr">
        <is>
          <t>P0</t>
        </is>
      </c>
      <c r="J19" s="24" t="n">
        <v>9</v>
      </c>
      <c r="K19" s="24" t="inlineStr">
        <is>
          <t>Sprint 1</t>
        </is>
      </c>
      <c r="L19" s="25" t="inlineStr">
        <is>
          <t>Web, Android</t>
        </is>
      </c>
      <c r="M19" s="24" t="inlineStr">
        <is>
          <t>Chưa làm</t>
        </is>
      </c>
      <c r="N19" s="24" t="inlineStr">
        <is>
          <t>Chưa làm</t>
        </is>
      </c>
      <c r="O19" s="24" t="inlineStr">
        <is>
          <t>Chưa làm</t>
        </is>
      </c>
      <c r="P19" s="24" t="inlineStr">
        <is>
          <t>Chưa làm</t>
        </is>
      </c>
      <c r="Q19" s="28">
        <f>IFERROR(ROUND((IF(M19="Hoàn thành",1,IF(M19="Done chờ Test",1,IF(M19="Đang làm",0.5,0)))+IF(N19="Hoàn thành",1,IF(N19="Done chờ Test",1,IF(N19="Đang làm",0.5,0)))+IF(O19="Hoàn thành",1,IF(O19="Done chờ Test",1,IF(O19="Đang làm",0.5,0)))+IF(P19="Hoàn thành",1,IF(P19="Done chờ Test",1,IF(P19="Đang làm",0.5,0))))/(4-COUNTIF(M19:P19,"N/A")),4),0)</f>
        <v/>
      </c>
      <c r="R19" s="25" t="inlineStr">
        <is>
          <t>Chỉ hiển thị nhân viên làm được dịch vụ và giờ còn trống trong ca; kiểm tra lại trước khi tạo; luồng 1 giữ chỗ có thời hạn và chỉ xác nhận khi thanh toán thành công trong hạn; luồng 2 kiểm tra hạn dùng, lượt còn lại và khoảng cách tối thiểu giữa các buổi; hai yêu cầu đồng thời không chiếm cùng khung giờ</t>
        </is>
      </c>
      <c r="S19" s="25" t="inlineStr">
        <is>
          <t>Lõi của mục tiêu MT-3 — xem 09_Thuat_toan_lich</t>
        </is>
      </c>
    </row>
    <row r="20">
      <c r="A20" s="26" t="n">
        <v>16</v>
      </c>
      <c r="B20" s="26" t="inlineStr">
        <is>
          <t>UC-SPA-16</t>
        </is>
      </c>
      <c r="C20" s="27" t="inlineStr">
        <is>
          <t>Đặt lịch &amp; lịch hẹn</t>
        </is>
      </c>
      <c r="D20" s="26" t="inlineStr">
        <is>
          <t>BKG</t>
        </is>
      </c>
      <c r="E20" s="27" t="inlineStr">
        <is>
          <t>Xem và quản lý lịch hẹn</t>
        </is>
      </c>
      <c r="F20" s="27" t="inlineStr">
        <is>
          <t>Khách xem hoặc đổi hoặc hủy lịch của mình</t>
        </is>
      </c>
      <c r="G20" s="27" t="inlineStr">
        <is>
          <t>CUS</t>
        </is>
      </c>
      <c r="H20" s="27" t="inlineStr">
        <is>
          <t>DA: có đặc tả</t>
        </is>
      </c>
      <c r="I20" s="26" t="inlineStr">
        <is>
          <t>P1</t>
        </is>
      </c>
      <c r="J20" s="26" t="n">
        <v>5</v>
      </c>
      <c r="K20" s="26" t="inlineStr">
        <is>
          <t>Sprint 2</t>
        </is>
      </c>
      <c r="L20" s="27" t="inlineStr">
        <is>
          <t>Web, Android</t>
        </is>
      </c>
      <c r="M20" s="26" t="inlineStr">
        <is>
          <t>Chưa làm</t>
        </is>
      </c>
      <c r="N20" s="26" t="inlineStr">
        <is>
          <t>Chưa làm</t>
        </is>
      </c>
      <c r="O20" s="26" t="inlineStr">
        <is>
          <t>Chưa làm</t>
        </is>
      </c>
      <c r="P20" s="26" t="inlineStr">
        <is>
          <t>Chưa làm</t>
        </is>
      </c>
      <c r="Q20" s="29">
        <f>IFERROR(ROUND((IF(M20="Hoàn thành",1,IF(M20="Done chờ Test",1,IF(M20="Đang làm",0.5,0)))+IF(N20="Hoàn thành",1,IF(N20="Done chờ Test",1,IF(N20="Đang làm",0.5,0)))+IF(O20="Hoàn thành",1,IF(O20="Done chờ Test",1,IF(O20="Đang làm",0.5,0)))+IF(P20="Hoàn thành",1,IF(P20="Done chờ Test",1,IF(P20="Đang làm",0.5,0))))/(4-COUNTIF(M20:P20,"N/A")),4),0)</f>
        <v/>
      </c>
      <c r="R20" s="27" t="inlineStr">
        <is>
          <t>Đổi lịch đi qua cùng kiểm tra trùng lịch; hủy cần lý do; giới hạn thời gian đổi/hủy theo chính sách spa (cần xác nhận); hủy hợp lệ trả lại quyền sử dụng/buổi</t>
        </is>
      </c>
      <c r="S20" s="27" t="inlineStr">
        <is>
          <t>DA: 'kiểm tra và hủy khi được phép' — chưa định nghĩa điều kiện</t>
        </is>
      </c>
    </row>
    <row r="21">
      <c r="A21" s="24" t="n">
        <v>17</v>
      </c>
      <c r="B21" s="24" t="inlineStr">
        <is>
          <t>UC-SPA-17</t>
        </is>
      </c>
      <c r="C21" s="25" t="inlineStr">
        <is>
          <t>Đặt lịch &amp; lịch hẹn</t>
        </is>
      </c>
      <c r="D21" s="24" t="inlineStr">
        <is>
          <t>BKG</t>
        </is>
      </c>
      <c r="E21" s="25" t="inlineStr">
        <is>
          <t>Quản lý lịch hẹn</t>
        </is>
      </c>
      <c r="F21" s="25" t="inlineStr">
        <is>
          <t>Chủ spa điều chỉnh lịch hẹn (xem, xác nhận, phân công nhân viên) và ghi nhận khách không đến</t>
        </is>
      </c>
      <c r="G21" s="25" t="inlineStr">
        <is>
          <t>OWN</t>
        </is>
      </c>
      <c r="H21" s="25" t="inlineStr">
        <is>
          <t>DA: có đặc tả</t>
        </is>
      </c>
      <c r="I21" s="24" t="inlineStr">
        <is>
          <t>P0</t>
        </is>
      </c>
      <c r="J21" s="24" t="n">
        <v>7</v>
      </c>
      <c r="K21" s="24" t="inlineStr">
        <is>
          <t>Sprint 1</t>
        </is>
      </c>
      <c r="L21" s="25" t="inlineStr">
        <is>
          <t>Web; Android (rút gọn)</t>
        </is>
      </c>
      <c r="M21" s="24" t="inlineStr">
        <is>
          <t>Chưa làm</t>
        </is>
      </c>
      <c r="N21" s="24" t="inlineStr">
        <is>
          <t>Chưa làm</t>
        </is>
      </c>
      <c r="O21" s="24" t="inlineStr">
        <is>
          <t>Chưa làm</t>
        </is>
      </c>
      <c r="P21" s="24" t="inlineStr">
        <is>
          <t>Chưa làm</t>
        </is>
      </c>
      <c r="Q21" s="28">
        <f>IFERROR(ROUND((IF(M21="Hoàn thành",1,IF(M21="Done chờ Test",1,IF(M21="Đang làm",0.5,0)))+IF(N21="Hoàn thành",1,IF(N21="Done chờ Test",1,IF(N21="Đang làm",0.5,0)))+IF(O21="Hoàn thành",1,IF(O21="Done chờ Test",1,IF(O21="Đang làm",0.5,0)))+IF(P21="Hoàn thành",1,IF(P21="Done chờ Test",1,IF(P21="Đang làm",0.5,0))))/(4-COUNTIF(M21:P21,"N/A")),4),0)</f>
        <v/>
      </c>
      <c r="R21" s="25" t="inlineStr">
        <is>
          <t>Đổi giờ/đổi nhân viên kiểm tra trùng lịch và kỹ năng; hủy cần lý do; ghi nhận khách không đến chỉ sau giờ hẹn</t>
        </is>
      </c>
      <c r="S21" s="25" t="inlineStr"/>
    </row>
    <row r="22">
      <c r="A22" s="26" t="n">
        <v>18</v>
      </c>
      <c r="B22" s="26" t="inlineStr">
        <is>
          <t>UC-SPA-18</t>
        </is>
      </c>
      <c r="C22" s="27" t="inlineStr">
        <is>
          <t>Quyền sử dụng &amp; liệu trình</t>
        </is>
      </c>
      <c r="D22" s="26" t="inlineStr">
        <is>
          <t>TRT</t>
        </is>
      </c>
      <c r="E22" s="27" t="inlineStr">
        <is>
          <t>Xem dịch vụ và gói đã mua</t>
        </is>
      </c>
      <c r="F22" s="27" t="inlineStr">
        <is>
          <t>Khách xem sản phẩm đã mua và chọn chức năng liên quan</t>
        </is>
      </c>
      <c r="G22" s="27" t="inlineStr">
        <is>
          <t>CUS</t>
        </is>
      </c>
      <c r="H22" s="27" t="inlineStr">
        <is>
          <t>DA: có đặc tả</t>
        </is>
      </c>
      <c r="I22" s="26" t="inlineStr">
        <is>
          <t>P0</t>
        </is>
      </c>
      <c r="J22" s="26" t="n">
        <v>3</v>
      </c>
      <c r="K22" s="26" t="inlineStr">
        <is>
          <t>Sprint 2</t>
        </is>
      </c>
      <c r="L22" s="27" t="inlineStr">
        <is>
          <t>Web, Android</t>
        </is>
      </c>
      <c r="M22" s="26" t="inlineStr">
        <is>
          <t>Chưa làm</t>
        </is>
      </c>
      <c r="N22" s="26" t="inlineStr">
        <is>
          <t>Chưa làm</t>
        </is>
      </c>
      <c r="O22" s="26" t="inlineStr">
        <is>
          <t>Chưa làm</t>
        </is>
      </c>
      <c r="P22" s="26" t="inlineStr">
        <is>
          <t>Chưa làm</t>
        </is>
      </c>
      <c r="Q22" s="29">
        <f>IFERROR(ROUND((IF(M22="Hoàn thành",1,IF(M22="Done chờ Test",1,IF(M22="Đang làm",0.5,0)))+IF(N22="Hoàn thành",1,IF(N22="Done chờ Test",1,IF(N22="Đang làm",0.5,0)))+IF(O22="Hoàn thành",1,IF(O22="Done chờ Test",1,IF(O22="Đang làm",0.5,0)))+IF(P22="Hoàn thành",1,IF(P22="Done chờ Test",1,IF(P22="Đang làm",0.5,0))))/(4-COUNTIF(M22:P22,"N/A")),4),0)</f>
        <v/>
      </c>
      <c r="R22" s="27" t="inlineStr">
        <is>
          <t>Hiển thị DichVuKhachHang và GoiKhachHang với hạn sử dụng, trạng thái, số buổi đã dùng/tổng; A1 đặt lịch bằng quyền đã mua; A2 xem liệu trình; A3 xem đơn nguồn</t>
        </is>
      </c>
      <c r="S22" s="27" t="inlineStr"/>
    </row>
    <row r="23">
      <c r="A23" s="24" t="n">
        <v>19</v>
      </c>
      <c r="B23" s="24" t="inlineStr">
        <is>
          <t>UC-SPA-19</t>
        </is>
      </c>
      <c r="C23" s="25" t="inlineStr">
        <is>
          <t>Quyền sử dụng &amp; liệu trình</t>
        </is>
      </c>
      <c r="D23" s="24" t="inlineStr">
        <is>
          <t>TRT</t>
        </is>
      </c>
      <c r="E23" s="25" t="inlineStr">
        <is>
          <t>Theo dõi liệu trình chăm sóc da</t>
        </is>
      </c>
      <c r="F23" s="25" t="inlineStr">
        <is>
          <t>Khách xem tiến độ và trạng thái các buổi chăm sóc</t>
        </is>
      </c>
      <c r="G23" s="25" t="inlineStr">
        <is>
          <t>CUS</t>
        </is>
      </c>
      <c r="H23" s="25" t="inlineStr">
        <is>
          <t>DA: có đặc tả</t>
        </is>
      </c>
      <c r="I23" s="24" t="inlineStr">
        <is>
          <t>P0</t>
        </is>
      </c>
      <c r="J23" s="24" t="n">
        <v>4</v>
      </c>
      <c r="K23" s="24" t="inlineStr">
        <is>
          <t>Sprint 2</t>
        </is>
      </c>
      <c r="L23" s="25" t="inlineStr">
        <is>
          <t>Web, Android</t>
        </is>
      </c>
      <c r="M23" s="24" t="inlineStr">
        <is>
          <t>Chưa làm</t>
        </is>
      </c>
      <c r="N23" s="24" t="inlineStr">
        <is>
          <t>Chưa làm</t>
        </is>
      </c>
      <c r="O23" s="24" t="inlineStr">
        <is>
          <t>Chưa làm</t>
        </is>
      </c>
      <c r="P23" s="24" t="inlineStr">
        <is>
          <t>Chưa làm</t>
        </is>
      </c>
      <c r="Q23" s="28">
        <f>IFERROR(ROUND((IF(M23="Hoàn thành",1,IF(M23="Done chờ Test",1,IF(M23="Đang làm",0.5,0)))+IF(N23="Hoàn thành",1,IF(N23="Done chờ Test",1,IF(N23="Đang làm",0.5,0)))+IF(O23="Hoàn thành",1,IF(O23="Done chờ Test",1,IF(O23="Đang làm",0.5,0)))+IF(P23="Hoàn thành",1,IF(P23="Done chờ Test",1,IF(P23="Đang làm",0.5,0))))/(4-COUNTIF(M23:P23,"N/A")),4),0)</f>
        <v/>
      </c>
      <c r="R23" s="25" t="inlineStr">
        <is>
          <t>Hiển thị mục tiêu, tiến độ SoBuoiDaDung/TongSoBuoi, trạng thái từng BuoiChamSoc theo ThuTu; buổi đủ điều kiện mới cho đặt lịch</t>
        </is>
      </c>
      <c r="S23" s="25" t="inlineStr"/>
    </row>
    <row r="24">
      <c r="A24" s="26" t="n">
        <v>20</v>
      </c>
      <c r="B24" s="26" t="inlineStr">
        <is>
          <t>UC-SPA-20</t>
        </is>
      </c>
      <c r="C24" s="27" t="inlineStr">
        <is>
          <t>Quyền sử dụng &amp; liệu trình</t>
        </is>
      </c>
      <c r="D24" s="26" t="inlineStr">
        <is>
          <t>TRT</t>
        </is>
      </c>
      <c r="E24" s="27" t="inlineStr">
        <is>
          <t>Xem lịch sử sử dụng dịch vụ</t>
        </is>
      </c>
      <c r="F24" s="27" t="inlineStr">
        <is>
          <t>Khách xem các lần sử dụng dịch vụ trước đó</t>
        </is>
      </c>
      <c r="G24" s="27" t="inlineStr">
        <is>
          <t>CUS</t>
        </is>
      </c>
      <c r="H24" s="27" t="inlineStr">
        <is>
          <t>DA: có đặc tả</t>
        </is>
      </c>
      <c r="I24" s="26" t="inlineStr">
        <is>
          <t>P1</t>
        </is>
      </c>
      <c r="J24" s="26" t="n">
        <v>2</v>
      </c>
      <c r="K24" s="26" t="inlineStr">
        <is>
          <t>Sprint 2</t>
        </is>
      </c>
      <c r="L24" s="27" t="inlineStr">
        <is>
          <t>Web, Android</t>
        </is>
      </c>
      <c r="M24" s="26" t="inlineStr">
        <is>
          <t>Chưa làm</t>
        </is>
      </c>
      <c r="N24" s="26" t="inlineStr">
        <is>
          <t>Chưa làm</t>
        </is>
      </c>
      <c r="O24" s="26" t="inlineStr">
        <is>
          <t>Chưa làm</t>
        </is>
      </c>
      <c r="P24" s="26" t="inlineStr">
        <is>
          <t>Chưa làm</t>
        </is>
      </c>
      <c r="Q24" s="29">
        <f>IFERROR(ROUND((IF(M24="Hoàn thành",1,IF(M24="Done chờ Test",1,IF(M24="Đang làm",0.5,0)))+IF(N24="Hoàn thành",1,IF(N24="Done chờ Test",1,IF(N24="Đang làm",0.5,0)))+IF(O24="Hoàn thành",1,IF(O24="Done chờ Test",1,IF(O24="Đang làm",0.5,0)))+IF(P24="Hoàn thành",1,IF(P24="Done chờ Test",1,IF(P24="Đang làm",0.5,0))))/(4-COUNTIF(M24:P24,"N/A")),4),0)</f>
        <v/>
      </c>
      <c r="R24" s="27" t="inlineStr">
        <is>
          <t>Danh sách lịch hẹn HoanThanh của khách; lọc theo thời gian/dịch vụ; chi tiết gồm nhân viên, ghi chú/kết quả buổi</t>
        </is>
      </c>
      <c r="S24" s="27" t="inlineStr"/>
    </row>
    <row r="25">
      <c r="A25" s="24" t="n">
        <v>21</v>
      </c>
      <c r="B25" s="24" t="inlineStr">
        <is>
          <t>UC-SPA-21</t>
        </is>
      </c>
      <c r="C25" s="25" t="inlineStr">
        <is>
          <t>Quyền sử dụng &amp; liệu trình</t>
        </is>
      </c>
      <c r="D25" s="24" t="inlineStr">
        <is>
          <t>TRT</t>
        </is>
      </c>
      <c r="E25" s="25" t="inlineStr">
        <is>
          <t>Quản lý liệu trình và lịch sử chăm sóc của khách hàng</t>
        </is>
      </c>
      <c r="F25" s="25" t="inlineStr">
        <is>
          <t>Chủ spa/nhân viên xem và cập nhật liệu trình (mục tiêu, nhân viên phụ trách, ngày dự kiến, ghi chú) và lịch sử chăm sóc từng khách</t>
        </is>
      </c>
      <c r="G25" s="25" t="inlineStr">
        <is>
          <t>OWN; STF</t>
        </is>
      </c>
      <c r="H25" s="25" t="inlineStr">
        <is>
          <t>DA: chỉ liệt kê, chưa đặc tả</t>
        </is>
      </c>
      <c r="I25" s="24" t="inlineStr">
        <is>
          <t>P0</t>
        </is>
      </c>
      <c r="J25" s="24" t="n">
        <v>5</v>
      </c>
      <c r="K25" s="24" t="inlineStr">
        <is>
          <t>Sprint 2</t>
        </is>
      </c>
      <c r="L25" s="25" t="inlineStr">
        <is>
          <t>Web; Android (nhân viên)</t>
        </is>
      </c>
      <c r="M25" s="24" t="inlineStr">
        <is>
          <t>Chưa làm</t>
        </is>
      </c>
      <c r="N25" s="24" t="inlineStr">
        <is>
          <t>Chưa làm</t>
        </is>
      </c>
      <c r="O25" s="24" t="inlineStr">
        <is>
          <t>Chưa làm</t>
        </is>
      </c>
      <c r="P25" s="24" t="inlineStr">
        <is>
          <t>Chưa làm</t>
        </is>
      </c>
      <c r="Q25" s="28">
        <f>IFERROR(ROUND((IF(M25="Hoàn thành",1,IF(M25="Done chờ Test",1,IF(M25="Đang làm",0.5,0)))+IF(N25="Hoàn thành",1,IF(N25="Done chờ Test",1,IF(N25="Đang làm",0.5,0)))+IF(O25="Hoàn thành",1,IF(O25="Done chờ Test",1,IF(O25="Đang làm",0.5,0)))+IF(P25="Hoàn thành",1,IF(P25="Done chờ Test",1,IF(P25="Đang làm",0.5,0))))/(4-COUNTIF(M25:P25,"N/A")),4),0)</f>
        <v/>
      </c>
      <c r="R25" s="25" t="inlineStr">
        <is>
          <t>Lọc theo khách, trạng thái; nhân viên chỉ sửa liệu trình mình phụ trách; không sửa buổi đã hoàn thành</t>
        </is>
      </c>
      <c r="S25" s="25" t="inlineStr">
        <is>
          <t>Có ở cả Nhân viên và Chủ spa nhưng chưa có bảng đặc tả</t>
        </is>
      </c>
    </row>
    <row r="26">
      <c r="A26" s="26" t="n">
        <v>22</v>
      </c>
      <c r="B26" s="26" t="inlineStr">
        <is>
          <t>UC-SPA-22</t>
        </is>
      </c>
      <c r="C26" s="27" t="inlineStr">
        <is>
          <t>Nhân viên &amp; lịch làm việc</t>
        </is>
      </c>
      <c r="D26" s="26" t="inlineStr">
        <is>
          <t>STF</t>
        </is>
      </c>
      <c r="E26" s="27" t="inlineStr">
        <is>
          <t>Quản lý nhân viên</t>
        </is>
      </c>
      <c r="F26" s="27" t="inlineStr">
        <is>
          <t>Chủ spa thêm hoặc sửa nhân viên và ghi nhận nghỉ việc</t>
        </is>
      </c>
      <c r="G26" s="27" t="inlineStr">
        <is>
          <t>OWN</t>
        </is>
      </c>
      <c r="H26" s="27" t="inlineStr">
        <is>
          <t>DA: có đặc tả</t>
        </is>
      </c>
      <c r="I26" s="26" t="inlineStr">
        <is>
          <t>P0</t>
        </is>
      </c>
      <c r="J26" s="26" t="n">
        <v>4</v>
      </c>
      <c r="K26" s="26" t="inlineStr">
        <is>
          <t>Sprint 1</t>
        </is>
      </c>
      <c r="L26" s="27" t="inlineStr">
        <is>
          <t>Web</t>
        </is>
      </c>
      <c r="M26" s="26" t="inlineStr">
        <is>
          <t>Chưa làm</t>
        </is>
      </c>
      <c r="N26" s="26" t="inlineStr">
        <is>
          <t>Chưa làm</t>
        </is>
      </c>
      <c r="O26" s="26" t="inlineStr">
        <is>
          <t>N/A</t>
        </is>
      </c>
      <c r="P26" s="26" t="inlineStr">
        <is>
          <t>Chưa làm</t>
        </is>
      </c>
      <c r="Q26" s="29">
        <f>IFERROR(ROUND((IF(M26="Hoàn thành",1,IF(M26="Done chờ Test",1,IF(M26="Đang làm",0.5,0)))+IF(N26="Hoàn thành",1,IF(N26="Done chờ Test",1,IF(N26="Đang làm",0.5,0)))+IF(O26="Hoàn thành",1,IF(O26="Done chờ Test",1,IF(O26="Đang làm",0.5,0)))+IF(P26="Hoàn thành",1,IF(P26="Done chờ Test",1,IF(P26="Đang làm",0.5,0))))/(4-COUNTIF(M26:P26,"N/A")),4),0)</f>
        <v/>
      </c>
      <c r="R26" s="27" t="inlineStr">
        <is>
          <t>Tạo NguoiDung (VaiTro NhanVien) + NhanVien; chọn dịch vụ được thực hiện (NhanVien_DichVu); NgayNghiViec ≥ NgayVaoLam; nghỉ việc → không nhận lịch mới, lịch tương lai phải phân công lại</t>
        </is>
      </c>
      <c r="S26" s="27" t="inlineStr"/>
    </row>
    <row r="27">
      <c r="A27" s="24" t="n">
        <v>23</v>
      </c>
      <c r="B27" s="24" t="inlineStr">
        <is>
          <t>UC-SPA-23</t>
        </is>
      </c>
      <c r="C27" s="25" t="inlineStr">
        <is>
          <t>Nhân viên &amp; lịch làm việc</t>
        </is>
      </c>
      <c r="D27" s="24" t="inlineStr">
        <is>
          <t>STF</t>
        </is>
      </c>
      <c r="E27" s="25" t="inlineStr">
        <is>
          <t>Phân công lịch làm việc cho nhân viên</t>
        </is>
      </c>
      <c r="F27" s="25" t="inlineStr">
        <is>
          <t>Chủ spa thêm hoặc điều chỉnh ca làm</t>
        </is>
      </c>
      <c r="G27" s="25" t="inlineStr">
        <is>
          <t>OWN</t>
        </is>
      </c>
      <c r="H27" s="25" t="inlineStr">
        <is>
          <t>DA: có đặc tả</t>
        </is>
      </c>
      <c r="I27" s="24" t="inlineStr">
        <is>
          <t>P0</t>
        </is>
      </c>
      <c r="J27" s="24" t="n">
        <v>6</v>
      </c>
      <c r="K27" s="24" t="inlineStr">
        <is>
          <t>Sprint 1</t>
        </is>
      </c>
      <c r="L27" s="25" t="inlineStr">
        <is>
          <t>Web</t>
        </is>
      </c>
      <c r="M27" s="24" t="inlineStr">
        <is>
          <t>Chưa làm</t>
        </is>
      </c>
      <c r="N27" s="24" t="inlineStr">
        <is>
          <t>Chưa làm</t>
        </is>
      </c>
      <c r="O27" s="24" t="inlineStr">
        <is>
          <t>N/A</t>
        </is>
      </c>
      <c r="P27" s="24" t="inlineStr">
        <is>
          <t>Chưa làm</t>
        </is>
      </c>
      <c r="Q27" s="28">
        <f>IFERROR(ROUND((IF(M27="Hoàn thành",1,IF(M27="Done chờ Test",1,IF(M27="Đang làm",0.5,0)))+IF(N27="Hoàn thành",1,IF(N27="Done chờ Test",1,IF(N27="Đang làm",0.5,0)))+IF(O27="Hoàn thành",1,IF(O27="Done chờ Test",1,IF(O27="Đang làm",0.5,0)))+IF(P27="Hoàn thành",1,IF(P27="Done chờ Test",1,IF(P27="Đang làm",0.5,0))))/(4-COUNTIF(M27:P27,"N/A")),4),0)</f>
        <v/>
      </c>
      <c r="R27" s="25" t="inlineStr">
        <is>
          <t>GioKetThuc &gt; GioBatDau; không chồng ca cùng nhân viên; không sửa/xóa ca làm lịch hẹn đã đặt rơi ra ngoài ca (E1 xung đột)</t>
        </is>
      </c>
      <c r="S27" s="25" t="inlineStr"/>
    </row>
    <row r="28">
      <c r="A28" s="26" t="n">
        <v>24</v>
      </c>
      <c r="B28" s="26" t="inlineStr">
        <is>
          <t>UC-SPA-24</t>
        </is>
      </c>
      <c r="C28" s="27" t="inlineStr">
        <is>
          <t>Nhân viên &amp; lịch làm việc</t>
        </is>
      </c>
      <c r="D28" s="26" t="inlineStr">
        <is>
          <t>STF</t>
        </is>
      </c>
      <c r="E28" s="27" t="inlineStr">
        <is>
          <t>Xem lịch làm việc cá nhân</t>
        </is>
      </c>
      <c r="F28" s="27" t="inlineStr">
        <is>
          <t>Nhân viên xem các ca được phân công</t>
        </is>
      </c>
      <c r="G28" s="27" t="inlineStr">
        <is>
          <t>STF</t>
        </is>
      </c>
      <c r="H28" s="27" t="inlineStr">
        <is>
          <t>DA: có đặc tả</t>
        </is>
      </c>
      <c r="I28" s="26" t="inlineStr">
        <is>
          <t>P1</t>
        </is>
      </c>
      <c r="J28" s="26" t="n">
        <v>2</v>
      </c>
      <c r="K28" s="26" t="inlineStr">
        <is>
          <t>Sprint 2</t>
        </is>
      </c>
      <c r="L28" s="27" t="inlineStr">
        <is>
          <t>Web, Android</t>
        </is>
      </c>
      <c r="M28" s="26" t="inlineStr">
        <is>
          <t>Chưa làm</t>
        </is>
      </c>
      <c r="N28" s="26" t="inlineStr">
        <is>
          <t>Chưa làm</t>
        </is>
      </c>
      <c r="O28" s="26" t="inlineStr">
        <is>
          <t>Chưa làm</t>
        </is>
      </c>
      <c r="P28" s="26" t="inlineStr">
        <is>
          <t>Chưa làm</t>
        </is>
      </c>
      <c r="Q28" s="29">
        <f>IFERROR(ROUND((IF(M28="Hoàn thành",1,IF(M28="Done chờ Test",1,IF(M28="Đang làm",0.5,0)))+IF(N28="Hoàn thành",1,IF(N28="Done chờ Test",1,IF(N28="Đang làm",0.5,0)))+IF(O28="Hoàn thành",1,IF(O28="Done chờ Test",1,IF(O28="Đang làm",0.5,0)))+IF(P28="Hoàn thành",1,IF(P28="Done chờ Test",1,IF(P28="Đang làm",0.5,0))))/(4-COUNTIF(M28:P28,"N/A")),4),0)</f>
        <v/>
      </c>
      <c r="R28" s="27" t="inlineStr">
        <is>
          <t>Chỉ ca của chính nhân viên; xem theo tuần/tháng</t>
        </is>
      </c>
      <c r="S28" s="27" t="inlineStr"/>
    </row>
    <row r="29">
      <c r="A29" s="24" t="n">
        <v>25</v>
      </c>
      <c r="B29" s="24" t="inlineStr">
        <is>
          <t>UC-SPA-25</t>
        </is>
      </c>
      <c r="C29" s="25" t="inlineStr">
        <is>
          <t>Nhân viên &amp; lịch làm việc</t>
        </is>
      </c>
      <c r="D29" s="24" t="inlineStr">
        <is>
          <t>STF</t>
        </is>
      </c>
      <c r="E29" s="25" t="inlineStr">
        <is>
          <t>Xem danh sách lịch hẹn được phân công</t>
        </is>
      </c>
      <c r="F29" s="25" t="inlineStr">
        <is>
          <t>Nhân viên xem lịch và thông tin dịch vụ được giao</t>
        </is>
      </c>
      <c r="G29" s="25" t="inlineStr">
        <is>
          <t>STF</t>
        </is>
      </c>
      <c r="H29" s="25" t="inlineStr">
        <is>
          <t>DA: có đặc tả</t>
        </is>
      </c>
      <c r="I29" s="24" t="inlineStr">
        <is>
          <t>P0</t>
        </is>
      </c>
      <c r="J29" s="24" t="n">
        <v>3</v>
      </c>
      <c r="K29" s="24" t="inlineStr">
        <is>
          <t>Sprint 2</t>
        </is>
      </c>
      <c r="L29" s="25" t="inlineStr">
        <is>
          <t>Web, Android</t>
        </is>
      </c>
      <c r="M29" s="24" t="inlineStr">
        <is>
          <t>Chưa làm</t>
        </is>
      </c>
      <c r="N29" s="24" t="inlineStr">
        <is>
          <t>Chưa làm</t>
        </is>
      </c>
      <c r="O29" s="24" t="inlineStr">
        <is>
          <t>Chưa làm</t>
        </is>
      </c>
      <c r="P29" s="24" t="inlineStr">
        <is>
          <t>Chưa làm</t>
        </is>
      </c>
      <c r="Q29" s="28">
        <f>IFERROR(ROUND((IF(M29="Hoàn thành",1,IF(M29="Done chờ Test",1,IF(M29="Đang làm",0.5,0)))+IF(N29="Hoàn thành",1,IF(N29="Done chờ Test",1,IF(N29="Đang làm",0.5,0)))+IF(O29="Hoàn thành",1,IF(O29="Done chờ Test",1,IF(O29="Đang làm",0.5,0)))+IF(P29="Hoàn thành",1,IF(P29="Done chờ Test",1,IF(P29="Đang làm",0.5,0))))/(4-COUNTIF(M29:P29,"N/A")),4),0)</f>
        <v/>
      </c>
      <c r="R29" s="25" t="inlineStr">
        <is>
          <t>Lọc theo ngày/trạng thái; chi tiết có thông tin khách, dịch vụ, dị ứng; A1 chuyển lập hồ sơ da, A2 xác nhận hoàn thành</t>
        </is>
      </c>
      <c r="S29" s="25" t="inlineStr"/>
    </row>
    <row r="30">
      <c r="A30" s="26" t="n">
        <v>26</v>
      </c>
      <c r="B30" s="26" t="inlineStr">
        <is>
          <t>UC-SPA-26</t>
        </is>
      </c>
      <c r="C30" s="27" t="inlineStr">
        <is>
          <t>Chăm sóc &amp; hồ sơ da</t>
        </is>
      </c>
      <c r="D30" s="26" t="inlineStr">
        <is>
          <t>CARE</t>
        </is>
      </c>
      <c r="E30" s="27" t="inlineStr">
        <is>
          <t>Xem lịch sử các khách hàng đã chăm sóc</t>
        </is>
      </c>
      <c r="F30" s="27" t="inlineStr">
        <is>
          <t>Nhân viên xem các lần chăm sóc mình đã thực hiện</t>
        </is>
      </c>
      <c r="G30" s="27" t="inlineStr">
        <is>
          <t>STF</t>
        </is>
      </c>
      <c r="H30" s="27" t="inlineStr">
        <is>
          <t>DA: có đặc tả</t>
        </is>
      </c>
      <c r="I30" s="26" t="inlineStr">
        <is>
          <t>P1</t>
        </is>
      </c>
      <c r="J30" s="26" t="n">
        <v>2</v>
      </c>
      <c r="K30" s="26" t="inlineStr">
        <is>
          <t>Sprint 2</t>
        </is>
      </c>
      <c r="L30" s="27" t="inlineStr">
        <is>
          <t>Web, Android</t>
        </is>
      </c>
      <c r="M30" s="26" t="inlineStr">
        <is>
          <t>Chưa làm</t>
        </is>
      </c>
      <c r="N30" s="26" t="inlineStr">
        <is>
          <t>Chưa làm</t>
        </is>
      </c>
      <c r="O30" s="26" t="inlineStr">
        <is>
          <t>Chưa làm</t>
        </is>
      </c>
      <c r="P30" s="26" t="inlineStr">
        <is>
          <t>Chưa làm</t>
        </is>
      </c>
      <c r="Q30" s="29">
        <f>IFERROR(ROUND((IF(M30="Hoàn thành",1,IF(M30="Done chờ Test",1,IF(M30="Đang làm",0.5,0)))+IF(N30="Hoàn thành",1,IF(N30="Done chờ Test",1,IF(N30="Đang làm",0.5,0)))+IF(O30="Hoàn thành",1,IF(O30="Done chờ Test",1,IF(O30="Đang làm",0.5,0)))+IF(P30="Hoàn thành",1,IF(P30="Done chờ Test",1,IF(P30="Đang làm",0.5,0))))/(4-COUNTIF(M30:P30,"N/A")),4),0)</f>
        <v/>
      </c>
      <c r="R30" s="27" t="inlineStr">
        <is>
          <t>Chỉ lịch hẹn do chính nhân viên thực hiện; tìm theo tên/SĐT khách, khoảng ngày</t>
        </is>
      </c>
      <c r="S30" s="27" t="inlineStr">
        <is>
          <t>Tên trong bảng đặc tả DA đang ghi nhầm 'Xem danh sách lịch hẹn được phân công'</t>
        </is>
      </c>
    </row>
    <row r="31">
      <c r="A31" s="24" t="n">
        <v>27</v>
      </c>
      <c r="B31" s="24" t="inlineStr">
        <is>
          <t>UC-SPA-27</t>
        </is>
      </c>
      <c r="C31" s="25" t="inlineStr">
        <is>
          <t>Chăm sóc &amp; hồ sơ da</t>
        </is>
      </c>
      <c r="D31" s="24" t="inlineStr">
        <is>
          <t>CARE</t>
        </is>
      </c>
      <c r="E31" s="25" t="inlineStr">
        <is>
          <t>Lập và cập nhật hồ sơ da khách hàng</t>
        </is>
      </c>
      <c r="F31" s="25" t="inlineStr">
        <is>
          <t>Nhân viên tạo hoặc sửa hồ sơ của một lần chăm sóc</t>
        </is>
      </c>
      <c r="G31" s="25" t="inlineStr">
        <is>
          <t>STF</t>
        </is>
      </c>
      <c r="H31" s="25" t="inlineStr">
        <is>
          <t>DA: có đặc tả</t>
        </is>
      </c>
      <c r="I31" s="24" t="inlineStr">
        <is>
          <t>P0</t>
        </is>
      </c>
      <c r="J31" s="24" t="n">
        <v>4</v>
      </c>
      <c r="K31" s="24" t="inlineStr">
        <is>
          <t>Sprint 2</t>
        </is>
      </c>
      <c r="L31" s="25" t="inlineStr">
        <is>
          <t>Web, Android</t>
        </is>
      </c>
      <c r="M31" s="24" t="inlineStr">
        <is>
          <t>Chưa làm</t>
        </is>
      </c>
      <c r="N31" s="24" t="inlineStr">
        <is>
          <t>Chưa làm</t>
        </is>
      </c>
      <c r="O31" s="24" t="inlineStr">
        <is>
          <t>Chưa làm</t>
        </is>
      </c>
      <c r="P31" s="24" t="inlineStr">
        <is>
          <t>Chưa làm</t>
        </is>
      </c>
      <c r="Q31" s="28">
        <f>IFERROR(ROUND((IF(M31="Hoàn thành",1,IF(M31="Done chờ Test",1,IF(M31="Đang làm",0.5,0)))+IF(N31="Hoàn thành",1,IF(N31="Done chờ Test",1,IF(N31="Đang làm",0.5,0)))+IF(O31="Hoàn thành",1,IF(O31="Done chờ Test",1,IF(O31="Đang làm",0.5,0)))+IF(P31="Hoàn thành",1,IF(P31="Done chờ Test",1,IF(P31="Đang làm",0.5,0))))/(4-COUNTIF(M31:P31,"N/A")),4),0)</f>
        <v/>
      </c>
      <c r="R31" s="25" t="inlineStr">
        <is>
          <t>Mỗi lịch hẹn tối đa 1 HoSoDa (IdLichHen unique); LoaiDa bắt buộc; hiển thị và cập nhật DiUngKhachHang; chỉ nhân viên của lịch hẹn</t>
        </is>
      </c>
      <c r="S31" s="25" t="inlineStr"/>
    </row>
    <row r="32">
      <c r="A32" s="26" t="n">
        <v>28</v>
      </c>
      <c r="B32" s="26" t="inlineStr">
        <is>
          <t>UC-SPA-28</t>
        </is>
      </c>
      <c r="C32" s="27" t="inlineStr">
        <is>
          <t>Chăm sóc &amp; hồ sơ da</t>
        </is>
      </c>
      <c r="D32" s="26" t="inlineStr">
        <is>
          <t>CARE</t>
        </is>
      </c>
      <c r="E32" s="27" t="inlineStr">
        <is>
          <t>Xác nhận hoàn thành buổi chăm sóc</t>
        </is>
      </c>
      <c r="F32" s="27" t="inlineStr">
        <is>
          <t>Nhân viên ghi nhận lịch đã hoàn thành và cập nhật lượt sử dụng</t>
        </is>
      </c>
      <c r="G32" s="27" t="inlineStr">
        <is>
          <t>STF</t>
        </is>
      </c>
      <c r="H32" s="27" t="inlineStr">
        <is>
          <t>DA: có đặc tả</t>
        </is>
      </c>
      <c r="I32" s="26" t="inlineStr">
        <is>
          <t>P0</t>
        </is>
      </c>
      <c r="J32" s="26" t="n">
        <v>6</v>
      </c>
      <c r="K32" s="26" t="inlineStr">
        <is>
          <t>Sprint 2</t>
        </is>
      </c>
      <c r="L32" s="27" t="inlineStr">
        <is>
          <t>Web, Android</t>
        </is>
      </c>
      <c r="M32" s="26" t="inlineStr">
        <is>
          <t>Chưa làm</t>
        </is>
      </c>
      <c r="N32" s="26" t="inlineStr">
        <is>
          <t>Chưa làm</t>
        </is>
      </c>
      <c r="O32" s="26" t="inlineStr">
        <is>
          <t>Chưa làm</t>
        </is>
      </c>
      <c r="P32" s="26" t="inlineStr">
        <is>
          <t>Chưa làm</t>
        </is>
      </c>
      <c r="Q32" s="29">
        <f>IFERROR(ROUND((IF(M32="Hoàn thành",1,IF(M32="Done chờ Test",1,IF(M32="Đang làm",0.5,0)))+IF(N32="Hoàn thành",1,IF(N32="Done chờ Test",1,IF(N32="Đang làm",0.5,0)))+IF(O32="Hoàn thành",1,IF(O32="Done chờ Test",1,IF(O32="Đang làm",0.5,0)))+IF(P32="Hoàn thành",1,IF(P32="Done chờ Test",1,IF(P32="Đang làm",0.5,0))))/(4-COUNTIF(M32:P32,"N/A")),4),0)</f>
        <v/>
      </c>
      <c r="R32" s="27" t="inlineStr">
        <is>
          <t>Chỉ nhân viên được phân công, lịch DaXacNhan, không trước giờ bắt đầu; dịch vụ lẻ → DichVuKhachHang DaSuDung; buổi trong gói → BuoiChamSoc HoanThanh, SoBuoiDaDung + 1, đủ buổi thì gói và liệu trình HoanThanh; thực hiện trong 1 giao dịch</t>
        </is>
      </c>
      <c r="S32" s="27" t="inlineStr"/>
    </row>
    <row r="33">
      <c r="A33" s="24" t="n">
        <v>29</v>
      </c>
      <c r="B33" s="24" t="inlineStr">
        <is>
          <t>UC-SPA-29</t>
        </is>
      </c>
      <c r="C33" s="25" t="inlineStr">
        <is>
          <t>Đánh giá</t>
        </is>
      </c>
      <c r="D33" s="24" t="inlineStr">
        <is>
          <t>REV</t>
        </is>
      </c>
      <c r="E33" s="25" t="inlineStr">
        <is>
          <t>Xem đánh giá dịch vụ</t>
        </is>
      </c>
      <c r="F33" s="25" t="inlineStr">
        <is>
          <t>Người dùng xem đánh giá về dịch vụ hoặc gói</t>
        </is>
      </c>
      <c r="G33" s="25" t="inlineStr">
        <is>
          <t>GUEST; CUS</t>
        </is>
      </c>
      <c r="H33" s="25" t="inlineStr">
        <is>
          <t>DA: có đặc tả</t>
        </is>
      </c>
      <c r="I33" s="24" t="inlineStr">
        <is>
          <t>P1</t>
        </is>
      </c>
      <c r="J33" s="24" t="n">
        <v>2</v>
      </c>
      <c r="K33" s="24" t="inlineStr">
        <is>
          <t>Sprint 1</t>
        </is>
      </c>
      <c r="L33" s="25" t="inlineStr">
        <is>
          <t>Web, Android</t>
        </is>
      </c>
      <c r="M33" s="24" t="inlineStr">
        <is>
          <t>Chưa làm</t>
        </is>
      </c>
      <c r="N33" s="24" t="inlineStr">
        <is>
          <t>Chưa làm</t>
        </is>
      </c>
      <c r="O33" s="24" t="inlineStr">
        <is>
          <t>Chưa làm</t>
        </is>
      </c>
      <c r="P33" s="24" t="inlineStr">
        <is>
          <t>Chưa làm</t>
        </is>
      </c>
      <c r="Q33" s="28">
        <f>IFERROR(ROUND((IF(M33="Hoàn thành",1,IF(M33="Done chờ Test",1,IF(M33="Đang làm",0.5,0)))+IF(N33="Hoàn thành",1,IF(N33="Done chờ Test",1,IF(N33="Đang làm",0.5,0)))+IF(O33="Hoàn thành",1,IF(O33="Done chờ Test",1,IF(O33="Đang làm",0.5,0)))+IF(P33="Hoàn thành",1,IF(P33="Done chờ Test",1,IF(P33="Đang làm",0.5,0))))/(4-COUNTIF(M33:P33,"N/A")),4),0)</f>
        <v/>
      </c>
      <c r="R33" s="25" t="inlineStr">
        <is>
          <t>Chỉ đánh giá TrangThai = HienThi; điểm trung bình + số lượng; lọc theo số sao; hiển thị phản hồi của spa</t>
        </is>
      </c>
      <c r="S33" s="25" t="inlineStr"/>
    </row>
    <row r="34">
      <c r="A34" s="26" t="n">
        <v>30</v>
      </c>
      <c r="B34" s="26" t="inlineStr">
        <is>
          <t>UC-SPA-30</t>
        </is>
      </c>
      <c r="C34" s="27" t="inlineStr">
        <is>
          <t>Đánh giá</t>
        </is>
      </c>
      <c r="D34" s="26" t="inlineStr">
        <is>
          <t>REV</t>
        </is>
      </c>
      <c r="E34" s="27" t="inlineStr">
        <is>
          <t>Đánh giá dịch vụ</t>
        </is>
      </c>
      <c r="F34" s="27" t="inlineStr">
        <is>
          <t>Khách đánh giá dịch vụ hoặc gói đã đủ điều kiện</t>
        </is>
      </c>
      <c r="G34" s="27" t="inlineStr">
        <is>
          <t>CUS</t>
        </is>
      </c>
      <c r="H34" s="27" t="inlineStr">
        <is>
          <t>DA: có đặc tả</t>
        </is>
      </c>
      <c r="I34" s="26" t="inlineStr">
        <is>
          <t>P1</t>
        </is>
      </c>
      <c r="J34" s="26" t="n">
        <v>4</v>
      </c>
      <c r="K34" s="26" t="inlineStr">
        <is>
          <t>Sprint 2</t>
        </is>
      </c>
      <c r="L34" s="27" t="inlineStr">
        <is>
          <t>Web, Android</t>
        </is>
      </c>
      <c r="M34" s="26" t="inlineStr">
        <is>
          <t>Chưa làm</t>
        </is>
      </c>
      <c r="N34" s="26" t="inlineStr">
        <is>
          <t>Chưa làm</t>
        </is>
      </c>
      <c r="O34" s="26" t="inlineStr">
        <is>
          <t>Chưa làm</t>
        </is>
      </c>
      <c r="P34" s="26" t="inlineStr">
        <is>
          <t>Chưa làm</t>
        </is>
      </c>
      <c r="Q34" s="29">
        <f>IFERROR(ROUND((IF(M34="Hoàn thành",1,IF(M34="Done chờ Test",1,IF(M34="Đang làm",0.5,0)))+IF(N34="Hoàn thành",1,IF(N34="Done chờ Test",1,IF(N34="Đang làm",0.5,0)))+IF(O34="Hoàn thành",1,IF(O34="Done chờ Test",1,IF(O34="Đang làm",0.5,0)))+IF(P34="Hoàn thành",1,IF(P34="Done chờ Test",1,IF(P34="Đang làm",0.5,0))))/(4-COUNTIF(M34:P34,"N/A")),4),0)</f>
        <v/>
      </c>
      <c r="R34" s="27" t="inlineStr">
        <is>
          <t>Đủ điều kiện: đã sử dụng dịch vụ hoặc hoàn thành đủ số buổi theo quy định (cần chốt số buổi); SoSao 1–5; ảnh tùy chọn; mỗi khách 1 đánh giá/dịch vụ hoặc gói (đề xuất)</t>
        </is>
      </c>
      <c r="S34" s="27" t="inlineStr">
        <is>
          <t>'Đủ số buổi theo quy định' chưa được định nghĩa</t>
        </is>
      </c>
    </row>
    <row r="35">
      <c r="A35" s="24" t="n">
        <v>31</v>
      </c>
      <c r="B35" s="24" t="inlineStr">
        <is>
          <t>UC-SPA-31</t>
        </is>
      </c>
      <c r="C35" s="25" t="inlineStr">
        <is>
          <t>Đánh giá</t>
        </is>
      </c>
      <c r="D35" s="24" t="inlineStr">
        <is>
          <t>REV</t>
        </is>
      </c>
      <c r="E35" s="25" t="inlineStr">
        <is>
          <t>Quản lý đánh giá dịch vụ</t>
        </is>
      </c>
      <c r="F35" s="25" t="inlineStr">
        <is>
          <t>Chủ spa phản hồi hoặc ẩn đánh giá</t>
        </is>
      </c>
      <c r="G35" s="25" t="inlineStr">
        <is>
          <t>OWN</t>
        </is>
      </c>
      <c r="H35" s="25" t="inlineStr">
        <is>
          <t>DA: có đặc tả</t>
        </is>
      </c>
      <c r="I35" s="24" t="inlineStr">
        <is>
          <t>P2</t>
        </is>
      </c>
      <c r="J35" s="24" t="n">
        <v>2</v>
      </c>
      <c r="K35" s="24" t="inlineStr">
        <is>
          <t>Sprint 3</t>
        </is>
      </c>
      <c r="L35" s="25" t="inlineStr">
        <is>
          <t>Web</t>
        </is>
      </c>
      <c r="M35" s="24" t="inlineStr">
        <is>
          <t>Chưa làm</t>
        </is>
      </c>
      <c r="N35" s="24" t="inlineStr">
        <is>
          <t>Chưa làm</t>
        </is>
      </c>
      <c r="O35" s="24" t="inlineStr">
        <is>
          <t>N/A</t>
        </is>
      </c>
      <c r="P35" s="24" t="inlineStr">
        <is>
          <t>Chưa làm</t>
        </is>
      </c>
      <c r="Q35" s="28">
        <f>IFERROR(ROUND((IF(M35="Hoàn thành",1,IF(M35="Done chờ Test",1,IF(M35="Đang làm",0.5,0)))+IF(N35="Hoàn thành",1,IF(N35="Done chờ Test",1,IF(N35="Đang làm",0.5,0)))+IF(O35="Hoàn thành",1,IF(O35="Done chờ Test",1,IF(O35="Đang làm",0.5,0)))+IF(P35="Hoàn thành",1,IF(P35="Done chờ Test",1,IF(P35="Đang làm",0.5,0))))/(4-COUNTIF(M35:P35,"N/A")),4),0)</f>
        <v/>
      </c>
      <c r="R35" s="25" t="inlineStr">
        <is>
          <t>Phản hồi lưu PhanHoiTuSpa + PhanHoiLuc; ẩn đổi TrangThai, không xóa</t>
        </is>
      </c>
      <c r="S35" s="25" t="inlineStr"/>
    </row>
    <row r="36">
      <c r="A36" s="26" t="n">
        <v>32</v>
      </c>
      <c r="B36" s="26" t="inlineStr">
        <is>
          <t>UC-SPA-32</t>
        </is>
      </c>
      <c r="C36" s="27" t="inlineStr">
        <is>
          <t>Trợ lý AI</t>
        </is>
      </c>
      <c r="D36" s="26" t="inlineStr">
        <is>
          <t>AI</t>
        </is>
      </c>
      <c r="E36" s="27" t="inlineStr">
        <is>
          <t>Trò chuyện với trợ lý AI tư vấn dịch vụ</t>
        </is>
      </c>
      <c r="F36" s="27" t="inlineStr">
        <is>
          <t>Khách hàng trao đổi với AI để được tư vấn về dịch vụ</t>
        </is>
      </c>
      <c r="G36" s="27" t="inlineStr">
        <is>
          <t>GUEST; CUS; LLM</t>
        </is>
      </c>
      <c r="H36" s="27" t="inlineStr">
        <is>
          <t>DA: có đặc tả</t>
        </is>
      </c>
      <c r="I36" s="26" t="inlineStr">
        <is>
          <t>P1</t>
        </is>
      </c>
      <c r="J36" s="26" t="n">
        <v>8</v>
      </c>
      <c r="K36" s="26" t="inlineStr">
        <is>
          <t>Sprint 3</t>
        </is>
      </c>
      <c r="L36" s="27" t="inlineStr">
        <is>
          <t>Web, Android</t>
        </is>
      </c>
      <c r="M36" s="26" t="inlineStr">
        <is>
          <t>Chưa làm</t>
        </is>
      </c>
      <c r="N36" s="26" t="inlineStr">
        <is>
          <t>Chưa làm</t>
        </is>
      </c>
      <c r="O36" s="26" t="inlineStr">
        <is>
          <t>Chưa làm</t>
        </is>
      </c>
      <c r="P36" s="26" t="inlineStr">
        <is>
          <t>Chưa làm</t>
        </is>
      </c>
      <c r="Q36" s="29">
        <f>IFERROR(ROUND((IF(M36="Hoàn thành",1,IF(M36="Done chờ Test",1,IF(M36="Đang làm",0.5,0)))+IF(N36="Hoàn thành",1,IF(N36="Done chờ Test",1,IF(N36="Đang làm",0.5,0)))+IF(O36="Hoàn thành",1,IF(O36="Done chờ Test",1,IF(O36="Đang làm",0.5,0)))+IF(P36="Hoàn thành",1,IF(P36="Done chờ Test",1,IF(P36="Đang làm",0.5,0))))/(4-COUNTIF(M36:P36,"N/A")),4),0)</f>
        <v/>
      </c>
      <c r="R36" s="27" t="inlineStr">
        <is>
          <t>Kiểm tra nội dung trước khi gửi; AI chỉ dựa trên dịch vụ/gói đang bán và dữ liệu của chính khách (lịch hẹn, số buổi còn lại); không chẩn đoán y khoa; lưu câu hỏi + câu trả lời; E2 lỗi phản hồi cho gửi lại</t>
        </is>
      </c>
      <c r="S36" s="27" t="inlineStr">
        <is>
          <t>DA: actor gồm Khách vãng lai nhưng LichSuTroChuyenAI.IdKhachHang not null — cần chốt</t>
        </is>
      </c>
    </row>
    <row r="37">
      <c r="A37" s="24" t="n">
        <v>33</v>
      </c>
      <c r="B37" s="24" t="inlineStr">
        <is>
          <t>UC-SPA-33</t>
        </is>
      </c>
      <c r="C37" s="25" t="inlineStr">
        <is>
          <t>Thống kê &amp; báo cáo</t>
        </is>
      </c>
      <c r="D37" s="24" t="inlineStr">
        <is>
          <t>RPT</t>
        </is>
      </c>
      <c r="E37" s="25" t="inlineStr">
        <is>
          <t>Xem thống kê báo cáo doanh thu</t>
        </is>
      </c>
      <c r="F37" s="25" t="inlineStr">
        <is>
          <t>Chủ spa xem số liệu theo khoảng thời gian và tiêu chí</t>
        </is>
      </c>
      <c r="G37" s="25" t="inlineStr">
        <is>
          <t>OWN</t>
        </is>
      </c>
      <c r="H37" s="25" t="inlineStr">
        <is>
          <t>DA: có đặc tả</t>
        </is>
      </c>
      <c r="I37" s="24" t="inlineStr">
        <is>
          <t>P0</t>
        </is>
      </c>
      <c r="J37" s="24" t="n">
        <v>5</v>
      </c>
      <c r="K37" s="24" t="inlineStr">
        <is>
          <t>Sprint 3</t>
        </is>
      </c>
      <c r="L37" s="25" t="inlineStr">
        <is>
          <t>Web; Android (xem)</t>
        </is>
      </c>
      <c r="M37" s="24" t="inlineStr">
        <is>
          <t>Chưa làm</t>
        </is>
      </c>
      <c r="N37" s="24" t="inlineStr">
        <is>
          <t>Chưa làm</t>
        </is>
      </c>
      <c r="O37" s="24" t="inlineStr">
        <is>
          <t>Chưa làm</t>
        </is>
      </c>
      <c r="P37" s="24" t="inlineStr">
        <is>
          <t>Chưa làm</t>
        </is>
      </c>
      <c r="Q37" s="28">
        <f>IFERROR(ROUND((IF(M37="Hoàn thành",1,IF(M37="Done chờ Test",1,IF(M37="Đang làm",0.5,0)))+IF(N37="Hoàn thành",1,IF(N37="Done chờ Test",1,IF(N37="Đang làm",0.5,0)))+IF(O37="Hoàn thành",1,IF(O37="Done chờ Test",1,IF(O37="Đang làm",0.5,0)))+IF(P37="Hoàn thành",1,IF(P37="Done chờ Test",1,IF(P37="Đang làm",0.5,0))))/(4-COUNTIF(M37:P37,"N/A")),4),0)</f>
        <v/>
      </c>
      <c r="R37" s="25" t="inlineStr">
        <is>
          <t>Theo tháng, quý, năm (MT-5); doanh thu từ ThanhToan thành công; tiêu chí: dịch vụ lẻ/gói, sản phẩm; biểu đồ + bảng số liệu</t>
        </is>
      </c>
      <c r="S37" s="25" t="inlineStr"/>
    </row>
    <row r="38">
      <c r="A38" s="26" t="n">
        <v>34</v>
      </c>
      <c r="B38" s="26" t="inlineStr">
        <is>
          <t>UC-SPA-34</t>
        </is>
      </c>
      <c r="C38" s="27" t="inlineStr">
        <is>
          <t>Thông báo</t>
        </is>
      </c>
      <c r="D38" s="26" t="inlineStr">
        <is>
          <t>NTF</t>
        </is>
      </c>
      <c r="E38" s="27" t="inlineStr">
        <is>
          <t>Xem thông báo</t>
        </is>
      </c>
      <c r="F38" s="27" t="inlineStr">
        <is>
          <t>Người dùng xem thông báo được gửi đến mình</t>
        </is>
      </c>
      <c r="G38" s="27" t="inlineStr">
        <is>
          <t>CUS; STF</t>
        </is>
      </c>
      <c r="H38" s="27" t="inlineStr">
        <is>
          <t>DA: có đặc tả</t>
        </is>
      </c>
      <c r="I38" s="26" t="inlineStr">
        <is>
          <t>P2</t>
        </is>
      </c>
      <c r="J38" s="26" t="n">
        <v>2</v>
      </c>
      <c r="K38" s="26" t="inlineStr">
        <is>
          <t>Sprint 3</t>
        </is>
      </c>
      <c r="L38" s="27" t="inlineStr">
        <is>
          <t>Web, Android</t>
        </is>
      </c>
      <c r="M38" s="26" t="inlineStr">
        <is>
          <t>Chưa làm</t>
        </is>
      </c>
      <c r="N38" s="26" t="inlineStr">
        <is>
          <t>Chưa làm</t>
        </is>
      </c>
      <c r="O38" s="26" t="inlineStr">
        <is>
          <t>Chưa làm</t>
        </is>
      </c>
      <c r="P38" s="26" t="inlineStr">
        <is>
          <t>Chưa làm</t>
        </is>
      </c>
      <c r="Q38" s="29">
        <f>IFERROR(ROUND((IF(M38="Hoàn thành",1,IF(M38="Done chờ Test",1,IF(M38="Đang làm",0.5,0)))+IF(N38="Hoàn thành",1,IF(N38="Done chờ Test",1,IF(N38="Đang làm",0.5,0)))+IF(O38="Hoàn thành",1,IF(O38="Done chờ Test",1,IF(O38="Đang làm",0.5,0)))+IF(P38="Hoàn thành",1,IF(P38="Done chờ Test",1,IF(P38="Đang làm",0.5,0))))/(4-COUNTIF(M38:P38,"N/A")),4),0)</f>
        <v/>
      </c>
      <c r="R38" s="27" t="inlineStr">
        <is>
          <t>Chỉ thông báo của chính người dùng; mở thông báo thì ghi DocLuc; hiển thị số chưa đọc</t>
        </is>
      </c>
      <c r="S38" s="27" t="inlineStr"/>
    </row>
  </sheetData>
  <autoFilter ref="A4:S38"/>
  <mergeCells count="3">
    <mergeCell ref="A3:S3"/>
    <mergeCell ref="A2:S2"/>
    <mergeCell ref="A1:S1"/>
  </mergeCells>
  <conditionalFormatting sqref="M5:P38">
    <cfRule type="expression" priority="1" dxfId="0">
      <formula>M5="Hoàn thành"</formula>
    </cfRule>
    <cfRule type="expression" priority="2" dxfId="1">
      <formula>M5="Done chờ Test"</formula>
    </cfRule>
    <cfRule type="expression" priority="3" dxfId="2">
      <formula>M5="Đang làm"</formula>
    </cfRule>
    <cfRule type="expression" priority="4" dxfId="3">
      <formula>M5="Tạm dừng"</formula>
    </cfRule>
    <cfRule type="expression" priority="5" dxfId="4">
      <formula>M5="N/A"</formula>
    </cfRule>
  </conditionalFormatting>
  <conditionalFormatting sqref="I5:I38">
    <cfRule type="expression" priority="6" dxfId="5">
      <formula>I5="P0"</formula>
    </cfRule>
  </conditionalFormatting>
  <conditionalFormatting sqref="H5:H38">
    <cfRule type="expression" priority="7" dxfId="2">
      <formula>LEFT(H5,9)="DA: chỉ l"</formula>
    </cfRule>
  </conditionalFormatting>
  <conditionalFormatting sqref="Q5:Q38">
    <cfRule type="dataBar" priority="8">
      <dataBar>
        <cfvo type="num" val="0"/>
        <cfvo type="num" val="1"/>
        <color rgb="0063BE7B"/>
      </dataBar>
    </cfRule>
  </conditionalFormatting>
  <dataValidations count="3">
    <dataValidation sqref="M5:P38" showDropDown="0" showInputMessage="0" showErrorMessage="0" allowBlank="1" type="list">
      <formula1>"Chưa làm,Đang làm,Done chờ Test,Hoàn thành,Tạm dừng,N/A"</formula1>
    </dataValidation>
    <dataValidation sqref="I5:I38" showDropDown="0" showInputMessage="0" showErrorMessage="0" allowBlank="1" type="list">
      <formula1>"P0,P1,P2"</formula1>
    </dataValidation>
    <dataValidation sqref="K5:K38" showDropDown="0" showInputMessage="0" showErrorMessage="0" allowBlank="1" type="list">
      <formula1>"Sprint 1,Sprint 2,Sprint 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8"/>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30" customWidth="1" min="3" max="3"/>
    <col width="36" customWidth="1" min="4" max="4"/>
    <col width="16" customWidth="1" min="5" max="5"/>
    <col width="14" customWidth="1" min="6" max="6"/>
    <col width="30" customWidth="1" min="7" max="7"/>
    <col width="30" customWidth="1" min="8" max="8"/>
    <col width="70" customWidth="1" min="9" max="9"/>
    <col width="50" customWidth="1" min="10" max="10"/>
    <col width="50" customWidth="1" min="11" max="11"/>
    <col width="50" customWidth="1" min="12" max="12"/>
    <col width="16" customWidth="1" min="13" max="13"/>
  </cols>
  <sheetData>
    <row r="1" ht="26" customHeight="1">
      <c r="A1" s="1" t="inlineStr">
        <is>
          <t>05 · ĐẶC TẢ USE CASE</t>
        </is>
      </c>
    </row>
    <row r="2">
      <c r="A2" s="2" t="inlineStr">
        <is>
          <t>34 đặc tả · cùng thứ tự và mã với 04_Checklist_UC</t>
        </is>
      </c>
    </row>
    <row r="3" ht="30" customHeight="1">
      <c r="A3" s="3" t="inlineStr">
        <is>
          <t>Cột Input → Exception flow trích nguyên ý từ bảng kịch bản trong DA (đã sửa tên UC bị ghi nhầm). Cột 'Rà soát / bổ sung' là nhận xét và đề xuất, không có trong DA.</t>
        </is>
      </c>
    </row>
    <row r="4" ht="32" customHeight="1">
      <c r="A4" s="4" t="inlineStr">
        <is>
          <t>STT</t>
        </is>
      </c>
      <c r="B4" s="4" t="inlineStr">
        <is>
          <t>Mã UC</t>
        </is>
      </c>
      <c r="C4" s="4" t="inlineStr">
        <is>
          <t>Tên Use Case</t>
        </is>
      </c>
      <c r="D4" s="4" t="inlineStr">
        <is>
          <t>Description</t>
        </is>
      </c>
      <c r="E4" s="4" t="inlineStr">
        <is>
          <t>Actors</t>
        </is>
      </c>
      <c r="F4" s="4" t="inlineStr">
        <is>
          <t>Đặc tả</t>
        </is>
      </c>
      <c r="G4" s="4" t="inlineStr">
        <is>
          <t>Input</t>
        </is>
      </c>
      <c r="H4" s="4" t="inlineStr">
        <is>
          <t>Output</t>
        </is>
      </c>
      <c r="I4" s="4" t="inlineStr">
        <is>
          <t>Basic flow</t>
        </is>
      </c>
      <c r="J4" s="4" t="inlineStr">
        <is>
          <t>Alternative flow</t>
        </is>
      </c>
      <c r="K4" s="4" t="inlineStr">
        <is>
          <t>Exception flow</t>
        </is>
      </c>
      <c r="L4" s="4" t="inlineStr">
        <is>
          <t>Rà soát / bổ sung (ĐX)</t>
        </is>
      </c>
      <c r="M4" s="4" t="inlineStr">
        <is>
          <t>Business rules</t>
        </is>
      </c>
    </row>
    <row r="5">
      <c r="A5" s="24" t="n">
        <v>1</v>
      </c>
      <c r="B5" s="24">
        <f>'04_Checklist_UC'!B5</f>
        <v/>
      </c>
      <c r="C5" s="25">
        <f>'04_Checklist_UC'!E5</f>
        <v/>
      </c>
      <c r="D5" s="25">
        <f>'04_Checklist_UC'!F5</f>
        <v/>
      </c>
      <c r="E5" s="25">
        <f>'04_Checklist_UC'!G5</f>
        <v/>
      </c>
      <c r="F5" s="24" t="inlineStr">
        <is>
          <t>Có trong DA</t>
        </is>
      </c>
      <c r="G5" s="25" t="inlineStr">
        <is>
          <t>Họ tên; Email; Số điện thoại; Mật khẩu; Xác nhận mật khẩu; OTP</t>
        </is>
      </c>
      <c r="H5" s="25" t="inlineStr">
        <is>
          <t>Đăng ký thành công hoặc thông báo lỗi</t>
        </is>
      </c>
      <c r="I5" s="25" t="inlineStr">
        <is>
          <t>1. Khách mở trang đăng ký
2. Hệ thống hiển thị biểu mẫu
3. Khách nhập thông tin và nhấn đăng ký
4. Hệ thống kiểm tra dữ liệu
5. Hệ thống gửi OTP xác nhận email
6. Khách nhập OTP và xác nhận
7. Hệ thống kiểm tra OTP
8. Nếu hợp lệ → Hoàn tất tạo tài khoản và chuyển đến đăng nhập</t>
        </is>
      </c>
      <c r="J5" s="25" t="inlineStr">
        <is>
          <t>—</t>
        </is>
      </c>
      <c r="K5" s="25" t="inlineStr">
        <is>
          <t>E1. Thông tin đăng ký không hợp lệ → Hiển thị lỗi và không hoàn tất đăng ký
E2. OTP không hợp lệ → Thông báo lỗi và chuyển về trang đăng ký</t>
        </is>
      </c>
      <c r="L5" s="25" t="inlineStr">
        <is>
          <t>ĐX: thêm A1 'Gửi lại OTP' (giới hạn 60 giây/lần); E3 OTP hết hạn; E4 email/SĐT đã tồn tại</t>
        </is>
      </c>
      <c r="M5" s="25" t="inlineStr">
        <is>
          <t>BR-AUTH-01, 02</t>
        </is>
      </c>
    </row>
    <row r="6">
      <c r="A6" s="26" t="n">
        <v>2</v>
      </c>
      <c r="B6" s="26">
        <f>'04_Checklist_UC'!B6</f>
        <v/>
      </c>
      <c r="C6" s="27">
        <f>'04_Checklist_UC'!E6</f>
        <v/>
      </c>
      <c r="D6" s="27">
        <f>'04_Checklist_UC'!F6</f>
        <v/>
      </c>
      <c r="E6" s="27">
        <f>'04_Checklist_UC'!G6</f>
        <v/>
      </c>
      <c r="F6" s="26" t="inlineStr">
        <is>
          <t>Có trong DA</t>
        </is>
      </c>
      <c r="G6" s="27" t="inlineStr">
        <is>
          <t>Thông tin đăng nhập và mật khẩu</t>
        </is>
      </c>
      <c r="H6" s="27" t="inlineStr">
        <is>
          <t>Đăng nhập thành công hoặc thông báo lỗi</t>
        </is>
      </c>
      <c r="I6" s="27" t="inlineStr">
        <is>
          <t>1. Người dùng mở trang đăng nhập
2. Hệ thống hiển thị biểu mẫu
3. Người dùng nhập thông tin và mật khẩu
4. Hệ thống kiểm tra thông tin
5. Hệ thống kiểm tra trạng thái tài khoản
6. Nếu được hoạt động → Đăng nhập và chuyển đến trang phù hợp với vai trò</t>
        </is>
      </c>
      <c r="J6" s="27" t="inlineStr">
        <is>
          <t>A1. Người dùng đăng nhập từ thao tác đang dở → Quay lại thao tác trước đăng nhập</t>
        </is>
      </c>
      <c r="K6" s="27" t="inlineStr">
        <is>
          <t>E1. Thông tin không chính xác → Thông báo lỗi và quay lại nhập
E2. Tài khoản bị khóa hoặc ngừng hoạt động → Thông báo và kết thúc</t>
        </is>
      </c>
      <c r="L6" s="27" t="inlineStr">
        <is>
          <t>ĐX: không tiết lộ email có tồn tại hay không; khóa tạm sau nhiều lần sai</t>
        </is>
      </c>
      <c r="M6" s="27" t="inlineStr">
        <is>
          <t>BR-AUTH-03</t>
        </is>
      </c>
    </row>
    <row r="7">
      <c r="A7" s="24" t="n">
        <v>3</v>
      </c>
      <c r="B7" s="24">
        <f>'04_Checklist_UC'!B7</f>
        <v/>
      </c>
      <c r="C7" s="25">
        <f>'04_Checklist_UC'!E7</f>
        <v/>
      </c>
      <c r="D7" s="25">
        <f>'04_Checklist_UC'!F7</f>
        <v/>
      </c>
      <c r="E7" s="25">
        <f>'04_Checklist_UC'!G7</f>
        <v/>
      </c>
      <c r="F7" s="24" t="inlineStr">
        <is>
          <t>Có trong DA</t>
        </is>
      </c>
      <c r="G7" s="25" t="inlineStr">
        <is>
          <t>Email; OTP; Mật khẩu mới; Xác nhận mật khẩu</t>
        </is>
      </c>
      <c r="H7" s="25" t="inlineStr">
        <is>
          <t>Mật khẩu được cập nhật hoặc thông báo lỗi</t>
        </is>
      </c>
      <c r="I7" s="25" t="inlineStr">
        <is>
          <t>1. Người dùng chọn quên mật khẩu
2. Hệ thống hiển thị biểu mẫu email
3. Người dùng nhập email và gửi yêu cầu
4. Hệ thống kiểm tra email rồi gửi OTP
5. Người dùng nhập OTP và xác nhận
6. Hệ thống kiểm tra OTP và hiển thị biểu mẫu mật khẩu mới
7. Người dùng nhập và xác nhận mật khẩu mới
8. Hệ thống cập nhật tài khoản và thông báo thành công</t>
        </is>
      </c>
      <c r="J7" s="25" t="inlineStr">
        <is>
          <t>—</t>
        </is>
      </c>
      <c r="K7" s="25" t="inlineStr">
        <is>
          <t>E1. Email không hợp lệ hoặc không tồn tại → Thông báo và kết thúc
E2. OTP không hợp lệ → Thông báo và kết thúc</t>
        </is>
      </c>
      <c r="L7" s="25" t="inlineStr">
        <is>
          <t>Rà soát: ô ngoại lệ trong DA có chữ thừa 'flow' và ghi chú nháp 'Sơ đồ chưa thể hiện nhánh mật khẩu mới không hợp lệ' → bổ sung E3: mật khẩu mới không hợp lệ/không khớp → báo lỗi, nhập lại</t>
        </is>
      </c>
      <c r="M7" s="25" t="inlineStr">
        <is>
          <t>BR-AUTH-01, 02</t>
        </is>
      </c>
    </row>
    <row r="8">
      <c r="A8" s="26" t="n">
        <v>4</v>
      </c>
      <c r="B8" s="26">
        <f>'04_Checklist_UC'!B8</f>
        <v/>
      </c>
      <c r="C8" s="27">
        <f>'04_Checklist_UC'!E8</f>
        <v/>
      </c>
      <c r="D8" s="27">
        <f>'04_Checklist_UC'!F8</f>
        <v/>
      </c>
      <c r="E8" s="27">
        <f>'04_Checklist_UC'!G8</f>
        <v/>
      </c>
      <c r="F8" s="26" t="inlineStr">
        <is>
          <t>Có trong DA</t>
        </is>
      </c>
      <c r="G8" s="27" t="inlineStr">
        <is>
          <t>Thông tin tài khoản cần cập nhật</t>
        </is>
      </c>
      <c r="H8" s="27" t="inlineStr">
        <is>
          <t>Thông tin được lưu hoặc thông báo lỗi</t>
        </is>
      </c>
      <c r="I8" s="27" t="inlineStr">
        <is>
          <t>1. Người dùng mở thông tin tài khoản
2. Hệ thống hiển thị thông tin hiện tại
3. Người dùng chỉnh sửa và chọn lưu
4. Hệ thống kiểm tra dữ liệu
5. Hệ thống cập nhật và thông báo thành công</t>
        </is>
      </c>
      <c r="J8" s="27" t="inlineStr">
        <is>
          <t>—</t>
        </is>
      </c>
      <c r="K8" s="27" t="inlineStr">
        <is>
          <t>E1. Dữ liệu không hợp lệ → Hiển thị lỗi và quay lại bước chỉnh sửa</t>
        </is>
      </c>
      <c r="L8" s="27" t="inlineStr">
        <is>
          <t>Rà soát: hàng 'Usecase name' trong DA ghi nhầm 'Quản lý đơn hàng đã mua'. ĐX: thêm A1 đổi mật khẩu, A2 đổi ảnh đại diện</t>
        </is>
      </c>
      <c r="M8" s="27" t="inlineStr">
        <is>
          <t>BR-AUTH-04</t>
        </is>
      </c>
    </row>
    <row r="9">
      <c r="A9" s="24" t="n">
        <v>5</v>
      </c>
      <c r="B9" s="24">
        <f>'04_Checklist_UC'!B9</f>
        <v/>
      </c>
      <c r="C9" s="25">
        <f>'04_Checklist_UC'!E9</f>
        <v/>
      </c>
      <c r="D9" s="25">
        <f>'04_Checklist_UC'!F9</f>
        <v/>
      </c>
      <c r="E9" s="25">
        <f>'04_Checklist_UC'!G9</f>
        <v/>
      </c>
      <c r="F9" s="24" t="inlineStr">
        <is>
          <t>Có trong DA</t>
        </is>
      </c>
      <c r="G9" s="25" t="inlineStr">
        <is>
          <t>Tài khoản được chọn; Thông tin thay đổi; Thao tác</t>
        </is>
      </c>
      <c r="H9" s="25" t="inlineStr">
        <is>
          <t>Chi tiết tài khoản hoặc kết quả cập nhật</t>
        </is>
      </c>
      <c r="I9" s="25" t="inlineStr">
        <is>
          <t>1. Chủ spa mở danh sách tài khoản
2. Hệ thống hiển thị danh sách
3. Chủ spa tìm và chọn tài khoản
4. Chủ spa chọn xem thông tin
5. Hệ thống hiển thị chi tiết</t>
        </is>
      </c>
      <c r="J9" s="25" t="inlineStr">
        <is>
          <t>A1. Chủ spa chọn sửa → Hệ thống mở biểu mẫu → Chủ spa nhập và lưu → Hệ thống kiểm tra rồi cập nhật
A2. Chủ spa chọn khóa hoặc mở khóa và xác nhận → Hệ thống cập nhật trạng thái và thông báo</t>
        </is>
      </c>
      <c r="K9" s="25" t="inlineStr">
        <is>
          <t>E1. Dữ liệu chỉnh sửa không hợp lệ → Thông báo lỗi cụ thể và kết thúc thao tác</t>
        </is>
      </c>
      <c r="L9" s="25" t="inlineStr">
        <is>
          <t>ĐX: khóa tài khoản → thu hồi refresh token; không cho chủ spa tự khóa mình</t>
        </is>
      </c>
      <c r="M9" s="25" t="inlineStr">
        <is>
          <t>BR-AUTH-05</t>
        </is>
      </c>
    </row>
    <row r="10">
      <c r="A10" s="26" t="n">
        <v>6</v>
      </c>
      <c r="B10" s="26">
        <f>'04_Checklist_UC'!B10</f>
        <v/>
      </c>
      <c r="C10" s="27">
        <f>'04_Checklist_UC'!E10</f>
        <v/>
      </c>
      <c r="D10" s="27">
        <f>'04_Checklist_UC'!F10</f>
        <v/>
      </c>
      <c r="E10" s="27">
        <f>'04_Checklist_UC'!G10</f>
        <v/>
      </c>
      <c r="F10" s="26" t="inlineStr">
        <is>
          <t>Có trong DA</t>
        </is>
      </c>
      <c r="G10" s="27" t="inlineStr">
        <is>
          <t>Từ khóa (tùy chọn), Danh mục (tùy chọn)</t>
        </is>
      </c>
      <c r="H10" s="27" t="inlineStr">
        <is>
          <t>Danh sách dịch vụ/gói dịch vụ phù hợp được hiển thị theo phân trang</t>
        </is>
      </c>
      <c r="I10" s="27" t="inlineStr">
        <is>
          <t>1. Actor mở trang dịch vụ
2. Hệ thống tải danh sách DichVu và GoiDichVu, chỉ hiển thị các mục đang ở trạng thái 'DangBan'
3. Nếu actor là khách hàng đã đăng nhập, hệ thống kiểm tra các liệu trình đang có của khách hàng để đánh dấu những dịch vụ/gói đã từng sử dụng
4. Actor nhập từ khóa và chọn danh mục dịch vụ để lọc
5. Actor nhấn nút 'Tìm kiếm' hoặc hệ thống tự động lọc
6. Hệ thống lọc DichVu/GoiDichVu theo từ khóa và danh mục đã chọn
7. Nếu actor bật 'Chỉ hiện dịch vụ đã từng sử dụng', hệ thống lọc thêm theo lịch sử sử dụng của khách hàng
8. Hệ thống hiển thị danh sách dịch vụ và gói dịch vụ theo phân trang
9. Actor chọn một dịch vụ hoặc gói dịch vụ để mở chi tiết
10. Use case kết thúc</t>
        </is>
      </c>
      <c r="J10" s="27" t="inlineStr">
        <is>
          <t>A1. Actor chọn gợi ý tìm kiếm → Hệ thống mở dịch vụ hoặc gói dịch vụ theo gợi ý
A2. Actor chọn xóa bộ lọc → Hệ thống đặt lại từ khóa, danh mục dịch vụ và khoảng giá
A3. Actor hỏi trợ lý AI → Hệ thống gửi câu hỏi tới trợ lý AI và hiển thị câu trả lời gợi ý dịch vụ phù hợp với nhu cầu</t>
        </is>
      </c>
      <c r="K10" s="27" t="inlineStr">
        <is>
          <t>E1. Không có dịch vụ phù hợp → Hệ thống hiển thị trạng thái không có kết quả và gợi ý đổi từ khóa hoặc danh mục
E2. Actor chọn lưu dịch vụ nhưng chưa đăng nhập → Hệ thống chuyển hướng sang trang đăng nhập</t>
        </is>
      </c>
      <c r="L10" s="27" t="inlineStr">
        <is>
          <t>Rà soát: Input thiếu 'khoảng giá' (A2 có nhắc); E2 'lưu dịch vụ' không có UC/bảng tương ứng (có thể là Thêm vào giỏ) — cần thống nhất. 'Danh mục' = DichVu.LoaiDichVu; GoiDichVu không có danh mục</t>
        </is>
      </c>
      <c r="M10" s="27" t="inlineStr">
        <is>
          <t>BR-CAT-01</t>
        </is>
      </c>
    </row>
    <row r="11">
      <c r="A11" s="24" t="n">
        <v>7</v>
      </c>
      <c r="B11" s="24">
        <f>'04_Checklist_UC'!B11</f>
        <v/>
      </c>
      <c r="C11" s="25">
        <f>'04_Checklist_UC'!E11</f>
        <v/>
      </c>
      <c r="D11" s="25">
        <f>'04_Checklist_UC'!F11</f>
        <v/>
      </c>
      <c r="E11" s="25">
        <f>'04_Checklist_UC'!G11</f>
        <v/>
      </c>
      <c r="F11" s="24" t="inlineStr">
        <is>
          <t>ĐX (DA chưa có bảng)</t>
        </is>
      </c>
      <c r="G11" s="25" t="inlineStr">
        <is>
          <t>Dịch vụ hoặc gói được chọn</t>
        </is>
      </c>
      <c r="H11" s="25" t="inlineStr">
        <is>
          <t>Thông tin chi tiết</t>
        </is>
      </c>
      <c r="I11" s="25" t="inlineStr">
        <is>
          <t>1. Actor chọn một dịch vụ hoặc gói
2. Hệ thống tải thông tin (chỉ mục DangBan)
3. Hệ thống hiển thị mô tả, giá, thời lượng, hình ảnh; với gói: các dịch vụ thành phần, số buổi, thứ tự, thời hạn
4. Hệ thống hiển thị điểm đánh giá trung bình (liên kết UC-SPA-29)
5. Actor chọn Thêm vào giỏ, Đặt ngay hoặc quay lại</t>
        </is>
      </c>
      <c r="J11" s="25" t="inlineStr">
        <is>
          <t>A1. Chưa đăng nhập mà chọn Thêm vào giỏ/Đặt ngay → chuyển đăng nhập rồi quay lại (UC-SPA-02 A1)</t>
        </is>
      </c>
      <c r="K11" s="25" t="inlineStr">
        <is>
          <t>E1. Sản phẩm không tồn tại hoặc ngừng bán → thông báo và quay về danh sách</t>
        </is>
      </c>
      <c r="L11" s="25" t="inlineStr">
        <is>
          <t>Toàn bộ đặc tả là ĐỀ XUẤT vì DA chưa có bảng kịch bản</t>
        </is>
      </c>
      <c r="M11" s="25" t="inlineStr">
        <is>
          <t>BR-CAT-01</t>
        </is>
      </c>
    </row>
    <row r="12">
      <c r="A12" s="26" t="n">
        <v>8</v>
      </c>
      <c r="B12" s="26">
        <f>'04_Checklist_UC'!B12</f>
        <v/>
      </c>
      <c r="C12" s="27">
        <f>'04_Checklist_UC'!E12</f>
        <v/>
      </c>
      <c r="D12" s="27">
        <f>'04_Checklist_UC'!F12</f>
        <v/>
      </c>
      <c r="E12" s="27">
        <f>'04_Checklist_UC'!G12</f>
        <v/>
      </c>
      <c r="F12" s="26" t="inlineStr">
        <is>
          <t>Có trong DA</t>
        </is>
      </c>
      <c r="G12" s="27" t="inlineStr">
        <is>
          <t>Yêu cầu mở trang giới thiệu</t>
        </is>
      </c>
      <c r="H12" s="27" t="inlineStr">
        <is>
          <t>Thông tin giới thiệu về spa</t>
        </is>
      </c>
      <c r="I12" s="27" t="inlineStr">
        <is>
          <t>1. Người dùng mở trang giới thiệu
2. Hệ thống tải và hiển thị thông tin spa
3. Người dùng xem nội dung
4. Người dùng quay lại hoặc rời trang</t>
        </is>
      </c>
      <c r="J12" s="27" t="inlineStr">
        <is>
          <t>(DA đang chép A1–A3 của UC Tìm kiếm — đề nghị xóa)</t>
        </is>
      </c>
      <c r="K12" s="27" t="inlineStr">
        <is>
          <t>(DA đang chép E1–E2 của UC Tìm kiếm — đề nghị xóa)</t>
        </is>
      </c>
      <c r="L12" s="27" t="inlineStr">
        <is>
          <t>Rà soát: luồng rẽ nhánh/ngoại lệ không thuộc UC này. ERD không có bảng lưu thông tin spa → dùng cấu hình (appsettings) hoặc bổ sung bảng ThongTinSpa</t>
        </is>
      </c>
      <c r="M12" s="27" t="inlineStr">
        <is>
          <t>—</t>
        </is>
      </c>
    </row>
    <row r="13">
      <c r="A13" s="24" t="n">
        <v>9</v>
      </c>
      <c r="B13" s="24">
        <f>'04_Checklist_UC'!B13</f>
        <v/>
      </c>
      <c r="C13" s="25">
        <f>'04_Checklist_UC'!E13</f>
        <v/>
      </c>
      <c r="D13" s="25">
        <f>'04_Checklist_UC'!F13</f>
        <v/>
      </c>
      <c r="E13" s="25">
        <f>'04_Checklist_UC'!G13</f>
        <v/>
      </c>
      <c r="F13" s="24" t="inlineStr">
        <is>
          <t>Có trong DA</t>
        </is>
      </c>
      <c r="G13" s="25" t="inlineStr">
        <is>
          <t>Loại sản phẩm; Thông tin dịch vụ hoặc gói; Các dịch vụ thành phần và số buổi</t>
        </is>
      </c>
      <c r="H13" s="25" t="inlineStr">
        <is>
          <t>Sản phẩm được lưu hoặc cập nhật trạng thái</t>
        </is>
      </c>
      <c r="I13" s="25" t="inlineStr">
        <is>
          <t>1. Chủ spa mở danh sách dịch vụ và gói
2. Hệ thống hiển thị danh sách
3. Chủ spa chọn thêm mới
4. Hệ thống hiển thị biểu mẫu
5. Chủ spa chọn loại sản phẩm và nhập thông tin
6. Với gói → Nhập thông tin gói và các dịch vụ thành phần cùng số buổi
7. Hệ thống kiểm tra rồi lưu và thông báo</t>
        </is>
      </c>
      <c r="J13" s="25" t="inlineStr">
        <is>
          <t>A1. Chủ spa chọn sửa → Hệ thống mở biểu mẫu chỉnh sửa → Chủ spa nhập và lưu → Hệ thống kiểm tra rồi cập nhật
A2. Chủ spa chọn ngừng bán và xác nhận → Hệ thống cập nhật trạng thái</t>
        </is>
      </c>
      <c r="K13" s="25" t="inlineStr">
        <is>
          <t>E1. Dữ liệu không hợp lệ → Hiển thị chi tiết lỗi và kết thúc thao tác</t>
        </is>
      </c>
      <c r="L13" s="25" t="inlineStr">
        <is>
          <t>ĐX: với gói nhập thêm ThuTu và KhoangCachNgayToiThieu từng dịch vụ thành phần; NgayBatDauBan/NgayKetThucBan</t>
        </is>
      </c>
      <c r="M13" s="25" t="inlineStr">
        <is>
          <t>BR-CAT-01, 02, 03</t>
        </is>
      </c>
    </row>
    <row r="14">
      <c r="A14" s="26" t="n">
        <v>10</v>
      </c>
      <c r="B14" s="26">
        <f>'04_Checklist_UC'!B14</f>
        <v/>
      </c>
      <c r="C14" s="27">
        <f>'04_Checklist_UC'!E14</f>
        <v/>
      </c>
      <c r="D14" s="27">
        <f>'04_Checklist_UC'!F14</f>
        <v/>
      </c>
      <c r="E14" s="27">
        <f>'04_Checklist_UC'!G14</f>
        <v/>
      </c>
      <c r="F14" s="26" t="inlineStr">
        <is>
          <t>Có trong DA</t>
        </is>
      </c>
      <c r="G14" s="27" t="inlineStr">
        <is>
          <t>Dịch vụ hoặc gói được chọn; Thao tác với giỏ</t>
        </is>
      </c>
      <c r="H14" s="27" t="inlineStr">
        <is>
          <t>Giỏ hàng được cập nhật hoặc mở trang thanh toán</t>
        </is>
      </c>
      <c r="I14" s="27" t="inlineStr">
        <is>
          <t>1. Khách mở danh sách dịch vụ và gói
2. Hệ thống tải danh sách
3. Khách nhấn thêm vào giỏ tại sản phẩm
4. Hệ thống kiểm tra sản phẩm đã có trong giỏ chưa
5. Nếu chưa có → Hệ thống tạo chi tiết giỏ hàng và ghi nhận giá</t>
        </is>
      </c>
      <c r="J14" s="27" t="inlineStr">
        <is>
          <t>A1. Khách mở giỏ → Hệ thống hiển thị chi tiết giỏ
A2. Khách xóa sản phẩm và xác nhận → Hệ thống xóa rồi cập nhật tổng tiền
A3. Khách chọn thanh toán → Hệ thống chuyển đến trang thanh toán</t>
        </is>
      </c>
      <c r="K14" s="27" t="inlineStr">
        <is>
          <t>E1. Sản phẩm đã tồn tại trong giỏ → Thông báo và không thêm trùng</t>
        </is>
      </c>
      <c r="L14" s="27" t="inlineStr">
        <is>
          <t>ĐX: nếu sản phẩm trong giỏ đã ngừng bán/đổi giá → đánh dấu khi mở giỏ</t>
        </is>
      </c>
      <c r="M14" s="27" t="inlineStr">
        <is>
          <t>BR-ORD-01</t>
        </is>
      </c>
    </row>
    <row r="15">
      <c r="A15" s="24" t="n">
        <v>11</v>
      </c>
      <c r="B15" s="24">
        <f>'04_Checklist_UC'!B15</f>
        <v/>
      </c>
      <c r="C15" s="25">
        <f>'04_Checklist_UC'!E15</f>
        <v/>
      </c>
      <c r="D15" s="25">
        <f>'04_Checklist_UC'!F15</f>
        <v/>
      </c>
      <c r="E15" s="25">
        <f>'04_Checklist_UC'!G15</f>
        <v/>
      </c>
      <c r="F15" s="24" t="inlineStr">
        <is>
          <t>Có trong DA</t>
        </is>
      </c>
      <c r="G15" s="25" t="inlineStr">
        <is>
          <t>Sản phẩm cần mua; Mã khuyến mãi nếu có; Kết quả giao dịch</t>
        </is>
      </c>
      <c r="H15" s="25" t="inlineStr">
        <is>
          <t>Trạng thái thanh toán và đơn hàng; Quyền sử dụng khi thành công</t>
        </is>
      </c>
      <c r="I15" s="25" t="inlineStr">
        <is>
          <t>1. Khách chọn thanh toán từ giỏ hoặc luồng đặt ngay
2. Hệ thống kiểm tra sản phẩm còn bán và lấy giá hiện tại
3. Hệ thống hiển thị thông tin đơn
4. Khách xác nhận thanh toán
5. Hệ thống tạo hoặc sử dụng đơn giữ chỗ đã có và chuyển đến cổng
6. Khách thực hiện thanh toán
7. Cổng xử lý và gửi kết quả
8. Hệ thống kiểm tra kết quả hợp lệ rồi cập nhật thanh toán và đơn hàng
9. Hệ thống tạo quyền sử dụng</t>
        </is>
      </c>
      <c r="J15" s="25" t="inlineStr">
        <is>
          <t>A1. Khách nhập mã khuyến mãi hợp lệ → Hệ thống tính số tiền giảm và tổng thanh toán
A2. Thanh toán thất bại và khách muốn thử lại → Tạo lần thử thanh toán mới trên đơn đủ điều kiện
A3. Khách không thử lại → Kết thúc</t>
        </is>
      </c>
      <c r="K15" s="25" t="inlineStr">
        <is>
          <t>E1. Mã không hợp lệ → Thông báo lỗi để khách sửa hoặc bỏ mã
E2. Thanh toán không thành công hoặc kết quả không hợp lệ → Thông báo chưa ghi nhận thành công</t>
        </is>
      </c>
      <c r="L15" s="25" t="inlineStr">
        <is>
          <t>ĐX: bước 8 xử lý idempotent (cổng có thể gọi nhiều lần); bước 9 tạo DichVuKhachHang cho mỗi dịch vụ lẻ, GoiKhachHang + LieuTrinh + BuoiChamSoc cho mỗi gói; xóa sản phẩm đã mua khỏi giỏ</t>
        </is>
      </c>
      <c r="M15" s="25" t="inlineStr">
        <is>
          <t>BR-ORD-02..06; BR-PRM-01..03</t>
        </is>
      </c>
    </row>
    <row r="16">
      <c r="A16" s="26" t="n">
        <v>12</v>
      </c>
      <c r="B16" s="26">
        <f>'04_Checklist_UC'!B16</f>
        <v/>
      </c>
      <c r="C16" s="27">
        <f>'04_Checklist_UC'!E16</f>
        <v/>
      </c>
      <c r="D16" s="27">
        <f>'04_Checklist_UC'!F16</f>
        <v/>
      </c>
      <c r="E16" s="27">
        <f>'04_Checklist_UC'!G16</f>
        <v/>
      </c>
      <c r="F16" s="26" t="inlineStr">
        <is>
          <t>Có trong DA</t>
        </is>
      </c>
      <c r="G16" s="27" t="inlineStr">
        <is>
          <t>Đơn được chọn và thao tác</t>
        </is>
      </c>
      <c r="H16" s="27" t="inlineStr">
        <is>
          <t>Thông tin đơn hoặc kết quả xử lý</t>
        </is>
      </c>
      <c r="I16" s="27" t="inlineStr">
        <is>
          <t>1. Khách mở danh sách đơn hàng
2. Hệ thống hiển thị các đơn của khách
3. Khách chọn đơn và xem chi tiết
4. Hệ thống hiển thị sản phẩm và thông tin thanh toán</t>
        </is>
      </c>
      <c r="J16" s="27" t="inlineStr">
        <is>
          <t>A1. Khách chọn thanh toán lại → Chuyển sang màn hình thanh toán online khi đơn đủ điều kiện
A2. Khách chọn hủy đơn → Hệ thống kiểm tra đơn chưa thanh toán và được phép hủy → Hủy đơn</t>
        </is>
      </c>
      <c r="K16" s="27" t="inlineStr">
        <is>
          <t>—</t>
        </is>
      </c>
      <c r="L16" s="27" t="inlineStr">
        <is>
          <t>ĐX: hủy đơn có lịch giữ chỗ → hủy luôn lịch giữ chỗ</t>
        </is>
      </c>
      <c r="M16" s="27" t="inlineStr">
        <is>
          <t>BR-ORD-04</t>
        </is>
      </c>
    </row>
    <row r="17">
      <c r="A17" s="24" t="n">
        <v>13</v>
      </c>
      <c r="B17" s="24">
        <f>'04_Checklist_UC'!B17</f>
        <v/>
      </c>
      <c r="C17" s="25">
        <f>'04_Checklist_UC'!E17</f>
        <v/>
      </c>
      <c r="D17" s="25">
        <f>'04_Checklist_UC'!F17</f>
        <v/>
      </c>
      <c r="E17" s="25">
        <f>'04_Checklist_UC'!G17</f>
        <v/>
      </c>
      <c r="F17" s="24" t="inlineStr">
        <is>
          <t>Có trong DA</t>
        </is>
      </c>
      <c r="G17" s="25" t="inlineStr">
        <is>
          <t>Điều kiện tìm kiếm; Đơn được chọn; Thao tác</t>
        </is>
      </c>
      <c r="H17" s="25" t="inlineStr">
        <is>
          <t>Chi tiết đơn hoặc đơn được hủy</t>
        </is>
      </c>
      <c r="I17" s="25" t="inlineStr">
        <is>
          <t>1. Chủ spa mở quản lý đơn hàng
2. Hệ thống hiển thị danh sách đơn
3. Chủ spa tìm và chọn một đơn
4. Chủ spa chọn xem chi tiết
5. Hệ thống hiển thị thông tin đơn</t>
        </is>
      </c>
      <c r="J17" s="25" t="inlineStr">
        <is>
          <t>A1. Chủ spa chọn hủy đơn chưa thanh toán → Hệ thống kiểm tra điều kiện → Yêu cầu xác nhận → Chủ spa xác nhận → Hệ thống hủy đơn</t>
        </is>
      </c>
      <c r="K17" s="25" t="inlineStr">
        <is>
          <t>—</t>
        </is>
      </c>
      <c r="L17" s="25" t="inlineStr">
        <is>
          <t>—</t>
        </is>
      </c>
      <c r="M17" s="25" t="inlineStr">
        <is>
          <t>BR-ORD-04</t>
        </is>
      </c>
    </row>
    <row r="18">
      <c r="A18" s="26" t="n">
        <v>14</v>
      </c>
      <c r="B18" s="26">
        <f>'04_Checklist_UC'!B18</f>
        <v/>
      </c>
      <c r="C18" s="27">
        <f>'04_Checklist_UC'!E18</f>
        <v/>
      </c>
      <c r="D18" s="27">
        <f>'04_Checklist_UC'!F18</f>
        <v/>
      </c>
      <c r="E18" s="27">
        <f>'04_Checklist_UC'!G18</f>
        <v/>
      </c>
      <c r="F18" s="26" t="inlineStr">
        <is>
          <t>Có trong DA</t>
        </is>
      </c>
      <c r="G18" s="27" t="inlineStr">
        <is>
          <t>Thông tin khuyến mãi; Chương trình được chọn; Thao tác</t>
        </is>
      </c>
      <c r="H18" s="27" t="inlineStr">
        <is>
          <t>Khuyến mãi được lưu hoặc cập nhật trạng thái</t>
        </is>
      </c>
      <c r="I18" s="27" t="inlineStr">
        <is>
          <t>1. Chủ spa mở danh sách khuyến mãi
2. Hệ thống hiển thị danh sách
3. Chủ spa chọn thêm khuyến mãi
4. Hệ thống hiển thị biểu mẫu
5. Chủ spa nhập thông tin và nhấn thêm
6. Hệ thống kiểm tra rồi lưu và thông báo thành công</t>
        </is>
      </c>
      <c r="J18" s="27" t="inlineStr">
        <is>
          <t>A1. Chủ spa chọn sửa → Chỉnh sửa thông tin và lưu → Hệ thống kiểm tra rồi cập nhật
A2. Chủ spa chọn ngừng khuyến mãi và xác nhận → Hệ thống cập nhật trạng thái</t>
        </is>
      </c>
      <c r="K18" s="27" t="inlineStr">
        <is>
          <t>E1. Dữ liệu không hợp lệ → Hiển thị thông báo chi tiết và kết thúc thao tác</t>
        </is>
      </c>
      <c r="L18" s="27" t="inlineStr">
        <is>
          <t>ĐX: không cho sửa loại/giá trị giảm khi đã có lượt ApDungKhuyenMai</t>
        </is>
      </c>
      <c r="M18" s="27" t="inlineStr">
        <is>
          <t>BR-PRM-01</t>
        </is>
      </c>
    </row>
    <row r="19">
      <c r="A19" s="24" t="n">
        <v>15</v>
      </c>
      <c r="B19" s="24">
        <f>'04_Checklist_UC'!B19</f>
        <v/>
      </c>
      <c r="C19" s="25">
        <f>'04_Checklist_UC'!E19</f>
        <v/>
      </c>
      <c r="D19" s="25">
        <f>'04_Checklist_UC'!F19</f>
        <v/>
      </c>
      <c r="E19" s="25">
        <f>'04_Checklist_UC'!G19</f>
        <v/>
      </c>
      <c r="F19" s="24" t="inlineStr">
        <is>
          <t>Có trong DA</t>
        </is>
      </c>
      <c r="G19" s="25" t="inlineStr">
        <is>
          <t>Luồng 1: Dịch vụ; Ngày; Giờ; Nhân viên; Kết quả thanh toán · Luồng 2: Dịch vụ hoặc buổi trong gói; Ngày; Giờ; Nhân viên</t>
        </is>
      </c>
      <c r="H19" s="25" t="inlineStr">
        <is>
          <t>Luồng 1: Lịch được xác nhận hoặc chỗ được giải phóng · Luồng 2: Lịch hẹn được tạo và xác nhận</t>
        </is>
      </c>
      <c r="I19" s="25" t="inlineStr">
        <is>
          <t>LUỒNG 1 — Đặt lịch hẹn khi chưa thanh toán:
1. Khách chọn dịch vụ và nhấn đặt ngay
2. Hệ thống hiển thị nhân viên và giờ trống
3. Khách chọn lịch rồi xác nhận
4. Hệ thống kiểm tra lịch còn trống
5. Hệ thống tạo đơn và giữ chỗ trong thời gian giới hạn
6. Khách thanh toán online
7. Hệ thống xử lý kết quả thành công và xác nhận chỗ còn được giữ
8. Hệ thống xác nhận lịch và gửi thông báo
LUỒNG 2 — Đặt lịch từ dịch vụ và gói của tôi:
1. Khách mở dịch vụ và gói của tôi
2. Hệ thống hiển thị danh sách đã mua
3. Khách chọn dịch vụ hoặc buổi rồi nhấn đặt lịch
4. Hệ thống kiểm tra hạn dùng cùng lượt và điều kiện buổi
5. Hệ thống hiển thị nhân viên và giờ trống
6. Khách chọn lịch rồi xác nhận
7. Hệ thống kiểm tra lại và tạo lịch
8. Hệ thống thông báo đặt lịch thành công</t>
        </is>
      </c>
      <c r="J19" s="25" t="inlineStr">
        <is>
          <t>—</t>
        </is>
      </c>
      <c r="K19" s="25" t="inlineStr">
        <is>
          <t>Luồng 1 – E1. Giờ không còn trống → Thông báo và quay lại chọn lịch
Luồng 1 – E2. Thanh toán thất bại hoặc hết hạn đã được xác nhận → Thông báo và giải phóng chỗ
Luồng 2 – E1. Không đủ điều kiện sử dụng → Thông báo lý do và kết thúc
Luồng 2 – E2. Giờ không còn trống → Yêu cầu chọn lại</t>
        </is>
      </c>
      <c r="L19" s="25" t="inlineStr">
        <is>
          <t>Rà soát: mô tả luồng 2 trong DA chép từ luồng 1 ('chọn lịch rồi thanh toán để xác nhận') nhưng luồng 2 không thanh toán. Cần chốt: lịch luồng 2 xác nhận ngay hay chờ chủ spa xác nhận (UC-SPA-17 có 'xác nhận'); thời gian giữ chỗ luồng 1 (đề xuất 15 phút)</t>
        </is>
      </c>
      <c r="M19" s="25" t="inlineStr">
        <is>
          <t>BR-BKG-01..08</t>
        </is>
      </c>
    </row>
    <row r="20">
      <c r="A20" s="26" t="n">
        <v>16</v>
      </c>
      <c r="B20" s="26">
        <f>'04_Checklist_UC'!B20</f>
        <v/>
      </c>
      <c r="C20" s="27">
        <f>'04_Checklist_UC'!E20</f>
        <v/>
      </c>
      <c r="D20" s="27">
        <f>'04_Checklist_UC'!F20</f>
        <v/>
      </c>
      <c r="E20" s="27">
        <f>'04_Checklist_UC'!G20</f>
        <v/>
      </c>
      <c r="F20" s="26" t="inlineStr">
        <is>
          <t>Có trong DA</t>
        </is>
      </c>
      <c r="G20" s="27" t="inlineStr">
        <is>
          <t>Lịch được chọn; Thao tác; Thời gian mới hoặc lý do hủy</t>
        </is>
      </c>
      <c r="H20" s="27" t="inlineStr">
        <is>
          <t>Thông tin lịch hoặc kết quả thay đổi</t>
        </is>
      </c>
      <c r="I20" s="27" t="inlineStr">
        <is>
          <t>1. Khách mở danh sách lịch hẹn
2. Hệ thống hiển thị các lịch của khách
3. Khách chọn lịch và thao tác xem chi tiết
4. Hệ thống hiển thị thông tin lịch</t>
        </is>
      </c>
      <c r="J20" s="27" t="inlineStr">
        <is>
          <t>A1. Khách chọn đổi lịch → Chọn thời gian mới → Hệ thống kiểm tra và cập nhật khi hợp lệ
A2. Khách chọn hủy → Nhập lý do và xác nhận → Hệ thống kiểm tra và hủy khi được phép</t>
        </is>
      </c>
      <c r="K20" s="27" t="inlineStr">
        <is>
          <t>—</t>
        </is>
      </c>
      <c r="L20" s="27" t="inlineStr">
        <is>
          <t>ĐX: E1 thời gian mới bị trùng → chọn lại; E2 quá hạn đổi/hủy theo chính sách → thông báo liên hệ spa</t>
        </is>
      </c>
      <c r="M20" s="27" t="inlineStr">
        <is>
          <t>BR-BKG-01, 07</t>
        </is>
      </c>
    </row>
    <row r="21">
      <c r="A21" s="24" t="n">
        <v>17</v>
      </c>
      <c r="B21" s="24">
        <f>'04_Checklist_UC'!B21</f>
        <v/>
      </c>
      <c r="C21" s="25">
        <f>'04_Checklist_UC'!E21</f>
        <v/>
      </c>
      <c r="D21" s="25">
        <f>'04_Checklist_UC'!F21</f>
        <v/>
      </c>
      <c r="E21" s="25">
        <f>'04_Checklist_UC'!G21</f>
        <v/>
      </c>
      <c r="F21" s="24" t="inlineStr">
        <is>
          <t>Có trong DA</t>
        </is>
      </c>
      <c r="G21" s="25" t="inlineStr">
        <is>
          <t>Lịch được chọn; Thời gian mới; Nhân viên mới; Lý do hủy</t>
        </is>
      </c>
      <c r="H21" s="25" t="inlineStr">
        <is>
          <t>Lịch hẹn được cập nhật</t>
        </is>
      </c>
      <c r="I21" s="25" t="inlineStr">
        <is>
          <t>1. Chủ spa mở danh sách lịch hẹn
2. Hệ thống hiển thị danh sách
3. Chủ spa tìm và chọn một lịch
4. Chủ spa chọn đổi thời gian và lưu
5. Hệ thống kiểm tra trùng lịch
6. Nếu không trùng → Cập nhật và thông báo thành công</t>
        </is>
      </c>
      <c r="J21" s="25" t="inlineStr">
        <is>
          <t>A1. Chủ spa chọn nhân viên phù hợp và lưu → Hệ thống cập nhật lịch
A2. Chủ spa nhập lý do và xác nhận hủy → Hệ thống cập nhật lịch
A3. Chủ spa xác nhận khách không đến → Hệ thống cập nhật trạng thái</t>
        </is>
      </c>
      <c r="K21" s="25" t="inlineStr">
        <is>
          <t>E1. Thời gian mới bị trùng → Thông báo và quay lại chọn giờ</t>
        </is>
      </c>
      <c r="L21" s="25" t="inlineStr">
        <is>
          <t>Rà soát: danh sách actor ghi 'xem, xác nhận, phân công' nhưng đặc tả chưa có bước xác nhận lịch → bổ sung A4 nếu dùng trạng thái ChoXacNhan</t>
        </is>
      </c>
      <c r="M21" s="25" t="inlineStr">
        <is>
          <t>BR-BKG-01..03, 08</t>
        </is>
      </c>
    </row>
    <row r="22">
      <c r="A22" s="26" t="n">
        <v>18</v>
      </c>
      <c r="B22" s="26">
        <f>'04_Checklist_UC'!B22</f>
        <v/>
      </c>
      <c r="C22" s="27">
        <f>'04_Checklist_UC'!E22</f>
        <v/>
      </c>
      <c r="D22" s="27">
        <f>'04_Checklist_UC'!F22</f>
        <v/>
      </c>
      <c r="E22" s="27">
        <f>'04_Checklist_UC'!G22</f>
        <v/>
      </c>
      <c r="F22" s="26" t="inlineStr">
        <is>
          <t>Có trong DA</t>
        </is>
      </c>
      <c r="G22" s="27" t="inlineStr">
        <is>
          <t>Sản phẩm đã mua được chọn</t>
        </is>
      </c>
      <c r="H22" s="27" t="inlineStr">
        <is>
          <t>Danh sách sản phẩm cùng hạn sử dụng và trạng thái</t>
        </is>
      </c>
      <c r="I22" s="27" t="inlineStr">
        <is>
          <t>1. Khách mở dịch vụ và gói của tôi
2. Hệ thống lấy các sản phẩm khách đã mua
3. Hệ thống hiển thị danh sách cùng hạn sử dụng và trạng thái
4. Khách chọn dịch vụ hoặc gói</t>
        </is>
      </c>
      <c r="J22" s="27" t="inlineStr">
        <is>
          <t>A1. Khách chọn đặt lịch → Chuyển sang đặt lịch bằng quyền đã mua
A2. Khách chọn xem liệu trình → Chuyển sang theo dõi liệu trình
A3. Khách chọn xem đơn hàng nguồn → Hiển thị đơn liên quan
A4. Chưa có sản phẩm → Hiển thị trạng thái trống và liên kết xem danh mục</t>
        </is>
      </c>
      <c r="K22" s="27" t="inlineStr">
        <is>
          <t>—</t>
        </is>
      </c>
      <c r="L22" s="27" t="inlineStr">
        <is>
          <t>—</t>
        </is>
      </c>
      <c r="M22" s="27" t="inlineStr">
        <is>
          <t>BR-TRT-01, 02</t>
        </is>
      </c>
    </row>
    <row r="23">
      <c r="A23" s="24" t="n">
        <v>19</v>
      </c>
      <c r="B23" s="24">
        <f>'04_Checklist_UC'!B23</f>
        <v/>
      </c>
      <c r="C23" s="25">
        <f>'04_Checklist_UC'!E23</f>
        <v/>
      </c>
      <c r="D23" s="25">
        <f>'04_Checklist_UC'!F23</f>
        <v/>
      </c>
      <c r="E23" s="25">
        <f>'04_Checklist_UC'!G23</f>
        <v/>
      </c>
      <c r="F23" s="24" t="inlineStr">
        <is>
          <t>Có trong DA</t>
        </is>
      </c>
      <c r="G23" s="25" t="inlineStr">
        <is>
          <t>Liệu trình và buổi được chọn</t>
        </is>
      </c>
      <c r="H23" s="25" t="inlineStr">
        <is>
          <t>Tiến độ liệu trình và thông tin buổi chăm sóc</t>
        </is>
      </c>
      <c r="I23" s="25" t="inlineStr">
        <is>
          <t>1. Khách mở danh sách liệu trình
2. Hệ thống hiển thị các liệu trình của khách
3. Khách chọn một liệu trình
4. Hệ thống hiển thị tiến độ và trạng thái từng buổi
5. Khách chọn một buổi
6. Hệ thống hiển thị chi tiết buổi</t>
        </is>
      </c>
      <c r="J23" s="25" t="inlineStr">
        <is>
          <t>A1. Buổi đủ điều kiện → Cho phép khách chuyển sang đặt lịch
A2. Buổi chưa đủ điều kiện → Chỉ hiển thị thông tin chi tiết</t>
        </is>
      </c>
      <c r="K23" s="25" t="inlineStr">
        <is>
          <t>—</t>
        </is>
      </c>
      <c r="L23" s="25" t="inlineStr">
        <is>
          <t>ĐX: 'đủ điều kiện' = gói còn hạn, buổi ChuaDat, các buổi có ThuTu nhỏ hơn đã đặt/hoàn thành, đủ KhoangCachNgayToiThieu</t>
        </is>
      </c>
      <c r="M23" s="25" t="inlineStr">
        <is>
          <t>BR-TRT-02, 03; BR-BKG-05</t>
        </is>
      </c>
    </row>
    <row r="24">
      <c r="A24" s="26" t="n">
        <v>20</v>
      </c>
      <c r="B24" s="26">
        <f>'04_Checklist_UC'!B24</f>
        <v/>
      </c>
      <c r="C24" s="27">
        <f>'04_Checklist_UC'!E24</f>
        <v/>
      </c>
      <c r="D24" s="27">
        <f>'04_Checklist_UC'!F24</f>
        <v/>
      </c>
      <c r="E24" s="27">
        <f>'04_Checklist_UC'!G24</f>
        <v/>
      </c>
      <c r="F24" s="26" t="inlineStr">
        <is>
          <t>Có trong DA</t>
        </is>
      </c>
      <c r="G24" s="27" t="inlineStr">
        <is>
          <t>Điều kiện lọc và lần sử dụng được chọn</t>
        </is>
      </c>
      <c r="H24" s="27" t="inlineStr">
        <is>
          <t>Danh sách lịch sử và thông tin chi tiết</t>
        </is>
      </c>
      <c r="I24" s="27" t="inlineStr">
        <is>
          <t>1. Khách mở lịch sử sử dụng
2. Hệ thống hiển thị lịch sử
3. Khách chọn điều kiện lọc
4. Hệ thống tìm và hiển thị các lần phù hợp
5. Khách chọn một lần sử dụng
6. Hệ thống hiển thị chi tiết</t>
        </is>
      </c>
      <c r="J24" s="27" t="inlineStr">
        <is>
          <t>A1. Không có kết quả → Thông báo chưa có lịch sử phù hợp và kết thúc</t>
        </is>
      </c>
      <c r="K24" s="27" t="inlineStr">
        <is>
          <t>—</t>
        </is>
      </c>
      <c r="L24" s="27" t="inlineStr">
        <is>
          <t>—</t>
        </is>
      </c>
      <c r="M24" s="27" t="inlineStr">
        <is>
          <t>BR-SEC-01</t>
        </is>
      </c>
    </row>
    <row r="25">
      <c r="A25" s="24" t="n">
        <v>21</v>
      </c>
      <c r="B25" s="24">
        <f>'04_Checklist_UC'!B25</f>
        <v/>
      </c>
      <c r="C25" s="25">
        <f>'04_Checklist_UC'!E25</f>
        <v/>
      </c>
      <c r="D25" s="25">
        <f>'04_Checklist_UC'!F25</f>
        <v/>
      </c>
      <c r="E25" s="25">
        <f>'04_Checklist_UC'!G25</f>
        <v/>
      </c>
      <c r="F25" s="24" t="inlineStr">
        <is>
          <t>ĐX (DA chưa có bảng)</t>
        </is>
      </c>
      <c r="G25" s="25" t="inlineStr">
        <is>
          <t>Khách hàng / liệu trình được chọn; Thông tin cập nhật</t>
        </is>
      </c>
      <c r="H25" s="25" t="inlineStr">
        <is>
          <t>Liệu trình và lịch sử chăm sóc được hiển thị/cập nhật</t>
        </is>
      </c>
      <c r="I25" s="25" t="inlineStr">
        <is>
          <t>1. Actor mở danh sách liệu trình
2. Hệ thống hiển thị liệu trình (chủ spa: tất cả; nhân viên: liệu trình mình phụ trách)
3. Actor tìm theo khách hàng, trạng thái và chọn một liệu trình
4. Hệ thống hiển thị mục tiêu, tiến độ, các buổi, hồ sơ da và lịch sử chăm sóc
5. Actor cập nhật mục tiêu, nhân viên phụ trách, ngày dự kiến, ghi chú
6. Hệ thống kiểm tra rồi lưu</t>
        </is>
      </c>
      <c r="J25" s="25" t="inlineStr">
        <is>
          <t>A1. Chủ spa đổi nhân viên phụ trách
A2. Chủ spa chuyển trạng thái liệu trình (tạm dừng/hủy) kèm lý do</t>
        </is>
      </c>
      <c r="K25" s="25" t="inlineStr">
        <is>
          <t>E1. Dữ liệu không hợp lệ → thông báo lỗi
E2. Nhân viên sửa liệu trình không phụ trách → từ chối</t>
        </is>
      </c>
      <c r="L25" s="25" t="inlineStr">
        <is>
          <t>Toàn bộ đặc tả là ĐỀ XUẤT vì DA chưa có bảng kịch bản</t>
        </is>
      </c>
      <c r="M25" s="25" t="inlineStr">
        <is>
          <t>BR-TRT-03; BR-SEC-01</t>
        </is>
      </c>
    </row>
    <row r="26">
      <c r="A26" s="26" t="n">
        <v>22</v>
      </c>
      <c r="B26" s="26">
        <f>'04_Checklist_UC'!B26</f>
        <v/>
      </c>
      <c r="C26" s="27">
        <f>'04_Checklist_UC'!E26</f>
        <v/>
      </c>
      <c r="D26" s="27">
        <f>'04_Checklist_UC'!F26</f>
        <v/>
      </c>
      <c r="E26" s="27">
        <f>'04_Checklist_UC'!G26</f>
        <v/>
      </c>
      <c r="F26" s="26" t="inlineStr">
        <is>
          <t>Có trong DA</t>
        </is>
      </c>
      <c r="G26" s="27" t="inlineStr">
        <is>
          <t>Thông tin nhân viên; Nhân viên được chọn; Thao tác</t>
        </is>
      </c>
      <c r="H26" s="27" t="inlineStr">
        <is>
          <t>Hồ sơ nhân viên được tạo hoặc cập nhật</t>
        </is>
      </c>
      <c r="I26" s="27" t="inlineStr">
        <is>
          <t>1. Chủ spa mở danh sách nhân viên
2. Hệ thống hiển thị danh sách
3. Chủ spa chọn thêm nhân viên
4. Hệ thống hiển thị biểu mẫu
5. Chủ spa nhập thông tin và nhấn thêm
6. Hệ thống kiểm tra rồi lưu và thông báo thành công</t>
        </is>
      </c>
      <c r="J26" s="27" t="inlineStr">
        <is>
          <t>A1. Chủ spa chọn sửa → Chọn nhân viên và chỉnh sửa → Hệ thống kiểm tra rồi lưu
A2. Chủ spa xác nhận nghỉ việc → Hệ thống cập nhật thời gian nghỉ và lưu</t>
        </is>
      </c>
      <c r="K26" s="27" t="inlineStr">
        <is>
          <t>E1. Dữ liệu không hợp lệ → Thông báo lỗi cụ thể và kết thúc thao tác</t>
        </is>
      </c>
      <c r="L26" s="27" t="inlineStr">
        <is>
          <t>ĐX: biểu mẫu gồm dịch vụ nhân viên thực hiện được (NhanVien_DichVu); A2 khi còn lịch hẹn tương lai → yêu cầu phân công lại</t>
        </is>
      </c>
      <c r="M26" s="27" t="inlineStr">
        <is>
          <t>BR-STF-01, 02</t>
        </is>
      </c>
    </row>
    <row r="27">
      <c r="A27" s="24" t="n">
        <v>23</v>
      </c>
      <c r="B27" s="24">
        <f>'04_Checklist_UC'!B27</f>
        <v/>
      </c>
      <c r="C27" s="25">
        <f>'04_Checklist_UC'!E27</f>
        <v/>
      </c>
      <c r="D27" s="25">
        <f>'04_Checklist_UC'!F27</f>
        <v/>
      </c>
      <c r="E27" s="25">
        <f>'04_Checklist_UC'!G27</f>
        <v/>
      </c>
      <c r="F27" s="24" t="inlineStr">
        <is>
          <t>Có trong DA</t>
        </is>
      </c>
      <c r="G27" s="25" t="inlineStr">
        <is>
          <t>Nhân viên; Ngày; Giờ bắt đầu; Giờ kết thúc</t>
        </is>
      </c>
      <c r="H27" s="25" t="inlineStr">
        <is>
          <t>Lịch làm việc được lưu</t>
        </is>
      </c>
      <c r="I27" s="25" t="inlineStr">
        <is>
          <t>1. Chủ spa mở lịch làm việc
2. Hệ thống hiển thị danh sách
3. Chủ spa chọn nhân viên và thêm ca
4. Chủ spa chọn ngày và giờ
5. Hệ thống kiểm tra ca làm và lịch hẹn liên quan
6. Hệ thống lưu lịch hợp lệ</t>
        </is>
      </c>
      <c r="J27" s="25" t="inlineStr">
        <is>
          <t>A1. Chủ spa chọn sửa ca → Nhập thời gian mới → Hệ thống kiểm tra và lưu</t>
        </is>
      </c>
      <c r="K27" s="25" t="inlineStr">
        <is>
          <t>E1. Có xung đột → Thông báo và quay lại chọn ngày giờ</t>
        </is>
      </c>
      <c r="L27" s="25" t="inlineStr">
        <is>
          <t>ĐX: A2 hủy ca (LichLamViec.TrangThai); A3 sao chép lịch tuần</t>
        </is>
      </c>
      <c r="M27" s="25" t="inlineStr">
        <is>
          <t>BR-STF-03</t>
        </is>
      </c>
    </row>
    <row r="28">
      <c r="A28" s="26" t="n">
        <v>24</v>
      </c>
      <c r="B28" s="26">
        <f>'04_Checklist_UC'!B28</f>
        <v/>
      </c>
      <c r="C28" s="27">
        <f>'04_Checklist_UC'!E28</f>
        <v/>
      </c>
      <c r="D28" s="27">
        <f>'04_Checklist_UC'!F28</f>
        <v/>
      </c>
      <c r="E28" s="27">
        <f>'04_Checklist_UC'!G28</f>
        <v/>
      </c>
      <c r="F28" s="26" t="inlineStr">
        <is>
          <t>Có trong DA</t>
        </is>
      </c>
      <c r="G28" s="27" t="inlineStr">
        <is>
          <t>Yêu cầu xem lịch và ca được chọn</t>
        </is>
      </c>
      <c r="H28" s="27" t="inlineStr">
        <is>
          <t>Danh sách ca làm và thông tin chi tiết</t>
        </is>
      </c>
      <c r="I28" s="27" t="inlineStr">
        <is>
          <t>1. Nhân viên mở lịch làm việc cá nhân
2. Hệ thống kiểm tra có lịch làm việc
3. Hệ thống hiển thị các ca được phân công
4. Nhân viên chọn ca
5. Hệ thống hiển thị chi tiết</t>
        </is>
      </c>
      <c r="J28" s="27" t="inlineStr">
        <is>
          <t>A1. Chưa có lịch → Hệ thống thông báo chưa có ca làm và kết thúc</t>
        </is>
      </c>
      <c r="K28" s="27" t="inlineStr">
        <is>
          <t>—</t>
        </is>
      </c>
      <c r="L28" s="27" t="inlineStr">
        <is>
          <t>—</t>
        </is>
      </c>
      <c r="M28" s="27" t="inlineStr">
        <is>
          <t>BR-SEC-01</t>
        </is>
      </c>
    </row>
    <row r="29">
      <c r="A29" s="24" t="n">
        <v>25</v>
      </c>
      <c r="B29" s="24">
        <f>'04_Checklist_UC'!B29</f>
        <v/>
      </c>
      <c r="C29" s="25">
        <f>'04_Checklist_UC'!E29</f>
        <v/>
      </c>
      <c r="D29" s="25">
        <f>'04_Checklist_UC'!F29</f>
        <v/>
      </c>
      <c r="E29" s="25">
        <f>'04_Checklist_UC'!G29</f>
        <v/>
      </c>
      <c r="F29" s="24" t="inlineStr">
        <is>
          <t>Có trong DA</t>
        </is>
      </c>
      <c r="G29" s="25" t="inlineStr">
        <is>
          <t>Ngày hoặc trạng thái; Lịch được chọn</t>
        </is>
      </c>
      <c r="H29" s="25" t="inlineStr">
        <is>
          <t>Danh sách lịch và chi tiết công việc</t>
        </is>
      </c>
      <c r="I29" s="25" t="inlineStr">
        <is>
          <t>1. Nhân viên mở danh sách lịch được phân công
2. Hệ thống hiển thị lịch theo nhân viên
3. Nhân viên chọn ngày hoặc trạng thái
4. Hệ thống hiển thị các lịch phù hợp
5. Nhân viên chọn một lịch
6. Hệ thống hiển thị thông tin khách và dịch vụ cần thực hiện</t>
        </is>
      </c>
      <c r="J29" s="25" t="inlineStr">
        <is>
          <t>A1. Nhân viên chuyển sang lập hồ sơ da
A2. Nhân viên chuyển sang xác nhận hoàn thành</t>
        </is>
      </c>
      <c r="K29" s="25" t="inlineStr">
        <is>
          <t>—</t>
        </is>
      </c>
      <c r="L29" s="25" t="inlineStr">
        <is>
          <t>ĐX: chi tiết hiển thị dị ứng (DiUngKhachHang) nổi bật</t>
        </is>
      </c>
      <c r="M29" s="25" t="inlineStr">
        <is>
          <t>BR-SEC-01</t>
        </is>
      </c>
    </row>
    <row r="30">
      <c r="A30" s="26" t="n">
        <v>26</v>
      </c>
      <c r="B30" s="26">
        <f>'04_Checklist_UC'!B30</f>
        <v/>
      </c>
      <c r="C30" s="27">
        <f>'04_Checklist_UC'!E30</f>
        <v/>
      </c>
      <c r="D30" s="27">
        <f>'04_Checklist_UC'!F30</f>
        <v/>
      </c>
      <c r="E30" s="27">
        <f>'04_Checklist_UC'!G30</f>
        <v/>
      </c>
      <c r="F30" s="26" t="inlineStr">
        <is>
          <t>Có trong DA</t>
        </is>
      </c>
      <c r="G30" s="27" t="inlineStr">
        <is>
          <t>Điều kiện tìm kiếm và lần chăm sóc được chọn</t>
        </is>
      </c>
      <c r="H30" s="27" t="inlineStr">
        <is>
          <t>Danh sách lịch sử và hồ sơ liên quan</t>
        </is>
      </c>
      <c r="I30" s="27" t="inlineStr">
        <is>
          <t>1. Nhân viên mở lịch sử khách hàng đã chăm sóc
2. Hệ thống hiển thị lịch sử
3. Nhân viên nhập điều kiện tìm kiếm
4. Hệ thống tìm các lần chăm sóc do nhân viên thực hiện
5. Hệ thống hiển thị danh sách
6. Nhân viên chọn một lần chăm sóc
7. Hệ thống hiển thị thông tin và hồ sơ liên quan</t>
        </is>
      </c>
      <c r="J30" s="27" t="inlineStr">
        <is>
          <t>A1. Không có kết quả → Thông báo chưa có dữ liệu và kết thúc</t>
        </is>
      </c>
      <c r="K30" s="27" t="inlineStr">
        <is>
          <t>—</t>
        </is>
      </c>
      <c r="L30" s="27" t="inlineStr">
        <is>
          <t>Rà soát: hàng 'Usecase name' trong DA ghi nhầm 'Xem danh sách lịch hẹn được phân công'</t>
        </is>
      </c>
      <c r="M30" s="27" t="inlineStr">
        <is>
          <t>BR-SEC-01</t>
        </is>
      </c>
    </row>
    <row r="31">
      <c r="A31" s="24" t="n">
        <v>27</v>
      </c>
      <c r="B31" s="24">
        <f>'04_Checklist_UC'!B31</f>
        <v/>
      </c>
      <c r="C31" s="25">
        <f>'04_Checklist_UC'!E31</f>
        <v/>
      </c>
      <c r="D31" s="25">
        <f>'04_Checklist_UC'!F31</f>
        <v/>
      </c>
      <c r="E31" s="25">
        <f>'04_Checklist_UC'!G31</f>
        <v/>
      </c>
      <c r="F31" s="24" t="inlineStr">
        <is>
          <t>Có trong DA</t>
        </is>
      </c>
      <c r="G31" s="25" t="inlineStr">
        <is>
          <t>Khách hàng; Lần chăm sóc; Thông tin hồ sơ da</t>
        </is>
      </c>
      <c r="H31" s="25" t="inlineStr">
        <is>
          <t>Hồ sơ được lưu gắn với lịch hẹn</t>
        </is>
      </c>
      <c r="I31" s="25" t="inlineStr">
        <is>
          <t>1. Nhân viên mở lịch sử khách hàng đã chăm sóc
2. Hệ thống hiển thị danh sách
3. Nhân viên chọn khách hàng và lần chăm sóc
4. Hệ thống hiển thị hồ sơ cùng thông tin dị ứng
5. Nếu chưa có hồ sơ → Nhân viên chọn tạo mới
6. Nhân viên nhập thông tin và lưu
7. Hệ thống kiểm tra rồi lưu hồ sơ gắn với lịch hẹn</t>
        </is>
      </c>
      <c r="J31" s="25" t="inlineStr">
        <is>
          <t>A1. Đã có hồ sơ → Nhân viên chọn cập nhật → Nhập thông tin và lưu</t>
        </is>
      </c>
      <c r="K31" s="25" t="inlineStr">
        <is>
          <t>E1. Dữ liệu không hợp lệ → Thông báo lỗi và quay lại nhập thông tin</t>
        </is>
      </c>
      <c r="L31" s="25" t="inlineStr">
        <is>
          <t>ĐX: A2 thêm/sửa dị ứng (DiUngKhachHang); cho phép mở từ lịch hẹn được phân công (UC-SPA-25 A1)</t>
        </is>
      </c>
      <c r="M31" s="25" t="inlineStr">
        <is>
          <t>BR-CARE-01, 02</t>
        </is>
      </c>
    </row>
    <row r="32">
      <c r="A32" s="26" t="n">
        <v>28</v>
      </c>
      <c r="B32" s="26">
        <f>'04_Checklist_UC'!B32</f>
        <v/>
      </c>
      <c r="C32" s="27">
        <f>'04_Checklist_UC'!E32</f>
        <v/>
      </c>
      <c r="D32" s="27">
        <f>'04_Checklist_UC'!F32</f>
        <v/>
      </c>
      <c r="E32" s="27">
        <f>'04_Checklist_UC'!G32</f>
        <v/>
      </c>
      <c r="F32" s="26" t="inlineStr">
        <is>
          <t>Có trong DA</t>
        </is>
      </c>
      <c r="G32" s="27" t="inlineStr">
        <is>
          <t>Lịch được phân công và kết quả chăm sóc</t>
        </is>
      </c>
      <c r="H32" s="27" t="inlineStr">
        <is>
          <t>Lịch hoàn thành và quyền sử dụng được cập nhật</t>
        </is>
      </c>
      <c r="I32" s="27" t="inlineStr">
        <is>
          <t>1. Nhân viên chọn lịch được phân công
2. Hệ thống hiển thị thông tin lịch
3. Nhân viên chọn hoàn thành và nhập kết quả
4. Hệ thống kiểm tra điều kiện
5. Hệ thống chuyển lịch sang đã hoàn thành
6. Nếu là dịch vụ lẻ → Đánh dấu quyền sử dụng đã dùng</t>
        </is>
      </c>
      <c r="J32" s="27" t="inlineStr">
        <is>
          <t>A1. Nếu là buổi trong gói → Đánh dấu buổi hoàn thành và cập nhật tiến độ gói</t>
        </is>
      </c>
      <c r="K32" s="27" t="inlineStr">
        <is>
          <t>E1. Không đủ điều kiện về quyền hoặc trạng thái lịch hoặc lượt sử dụng → Thông báo lý do và kết thúc</t>
        </is>
      </c>
      <c r="L32" s="27" t="inlineStr">
        <is>
          <t>ĐX: 'kết quả' lưu vào BuoiChamSoc.GhiChu (gói) hoặc LichHen.GhiChu (dịch vụ lẻ); gửi thông báo mời đánh giá</t>
        </is>
      </c>
      <c r="M32" s="27" t="inlineStr">
        <is>
          <t>BR-CARE-03; BR-TRT-02, 03</t>
        </is>
      </c>
    </row>
    <row r="33">
      <c r="A33" s="24" t="n">
        <v>29</v>
      </c>
      <c r="B33" s="24">
        <f>'04_Checklist_UC'!B33</f>
        <v/>
      </c>
      <c r="C33" s="25">
        <f>'04_Checklist_UC'!E33</f>
        <v/>
      </c>
      <c r="D33" s="25">
        <f>'04_Checklist_UC'!F33</f>
        <v/>
      </c>
      <c r="E33" s="25">
        <f>'04_Checklist_UC'!G33</f>
        <v/>
      </c>
      <c r="F33" s="24" t="inlineStr">
        <is>
          <t>Có trong DA</t>
        </is>
      </c>
      <c r="G33" s="25" t="inlineStr">
        <is>
          <t>Dịch vụ hoặc gói được chọn; Số sao cần lọc</t>
        </is>
      </c>
      <c r="H33" s="25" t="inlineStr">
        <is>
          <t>Điểm trung bình và danh sách đánh giá</t>
        </is>
      </c>
      <c r="I33" s="25" t="inlineStr">
        <is>
          <t>1. Người dùng mở mục đánh giá của dịch vụ hoặc gói
2. Hệ thống lấy các đánh giá được phép hiển thị
3. Hệ thống hiển thị điểm trung bình cùng số đánh giá và nội dung
4. Người dùng xem phản hồi của spa nếu có</t>
        </is>
      </c>
      <c r="J33" s="25" t="inlineStr">
        <is>
          <t>A1. Chưa có đánh giá → Hệ thống thông báo và kết thúc
A2. Người dùng chọn lọc theo số sao → Hệ thống cập nhật danh sách
A3. Người dùng không lọc → Kết thúc sau khi xem</t>
        </is>
      </c>
      <c r="K33" s="25" t="inlineStr">
        <is>
          <t>—</t>
        </is>
      </c>
      <c r="L33" s="25" t="inlineStr">
        <is>
          <t>—</t>
        </is>
      </c>
      <c r="M33" s="25" t="inlineStr">
        <is>
          <t>BR-REV-02</t>
        </is>
      </c>
    </row>
    <row r="34">
      <c r="A34" s="26" t="n">
        <v>30</v>
      </c>
      <c r="B34" s="26">
        <f>'04_Checklist_UC'!B34</f>
        <v/>
      </c>
      <c r="C34" s="27">
        <f>'04_Checklist_UC'!E34</f>
        <v/>
      </c>
      <c r="D34" s="27">
        <f>'04_Checklist_UC'!F34</f>
        <v/>
      </c>
      <c r="E34" s="27">
        <f>'04_Checklist_UC'!G34</f>
        <v/>
      </c>
      <c r="F34" s="26" t="inlineStr">
        <is>
          <t>Có trong DA</t>
        </is>
      </c>
      <c r="G34" s="27" t="inlineStr">
        <is>
          <t>Dịch vụ hoặc gói; Số sao; Nội dung; Hình ảnh nếu có</t>
        </is>
      </c>
      <c r="H34" s="27" t="inlineStr">
        <is>
          <t>Đánh giá được lưu hoặc thông báo chưa đủ điều kiện</t>
        </is>
      </c>
      <c r="I34" s="27" t="inlineStr">
        <is>
          <t>1. Khách chọn dịch vụ hoặc gói muốn đánh giá
2. Hệ thống kiểm tra đã sử dụng dịch vụ hoặc hoàn thành đủ số buổi theo quy định
3. Hệ thống hiển thị biểu mẫu đánh giá
4. Khách chọn số sao và nhập nội dung
5. Khách bổ sung ảnh nếu có rồi gửi đánh giá
6. Hệ thống lưu và thông báo thành công</t>
        </is>
      </c>
      <c r="J34" s="27" t="inlineStr">
        <is>
          <t>A1. Khách gửi đánh giá không kèm hình ảnh</t>
        </is>
      </c>
      <c r="K34" s="27" t="inlineStr">
        <is>
          <t>E1. Chưa đủ điều kiện đánh giá → Thông báo lý do và kết thúc</t>
        </is>
      </c>
      <c r="L34" s="27" t="inlineStr">
        <is>
          <t>Cần chốt 'đủ số buổi theo quy định' (đề xuất: gói có ≥ 1 buổi HoanThanh) và có cho đánh giá nhiều lần không</t>
        </is>
      </c>
      <c r="M34" s="27" t="inlineStr">
        <is>
          <t>BR-REV-01, 02</t>
        </is>
      </c>
    </row>
    <row r="35">
      <c r="A35" s="24" t="n">
        <v>31</v>
      </c>
      <c r="B35" s="24">
        <f>'04_Checklist_UC'!B35</f>
        <v/>
      </c>
      <c r="C35" s="25">
        <f>'04_Checklist_UC'!E35</f>
        <v/>
      </c>
      <c r="D35" s="25">
        <f>'04_Checklist_UC'!F35</f>
        <v/>
      </c>
      <c r="E35" s="25">
        <f>'04_Checklist_UC'!G35</f>
        <v/>
      </c>
      <c r="F35" s="24" t="inlineStr">
        <is>
          <t>Có trong DA</t>
        </is>
      </c>
      <c r="G35" s="25" t="inlineStr">
        <is>
          <t>Đánh giá được chọn; Nội dung phản hồi; Yêu cầu ẩn</t>
        </is>
      </c>
      <c r="H35" s="25" t="inlineStr">
        <is>
          <t>Phản hồi được lưu hoặc đánh giá được ẩn</t>
        </is>
      </c>
      <c r="I35" s="25" t="inlineStr">
        <is>
          <t>1. Chủ spa mở danh sách đánh giá
2. Hệ thống hiển thị danh sách
3. Chủ spa chọn một đánh giá
4. Hệ thống hiển thị nội dung
5. Chủ spa chọn phản hồi và nhập nội dung rồi gửi
6. Hệ thống lưu phản hồi và thông báo thành công</t>
        </is>
      </c>
      <c r="J35" s="25" t="inlineStr">
        <is>
          <t>A1. Chủ spa chọn ẩn đánh giá và xác nhận → Hệ thống cập nhật trạng thái</t>
        </is>
      </c>
      <c r="K35" s="25" t="inlineStr">
        <is>
          <t>—</t>
        </is>
      </c>
      <c r="L35" s="25" t="inlineStr">
        <is>
          <t>ĐX: A2 hiện lại đánh giá đã ẩn</t>
        </is>
      </c>
      <c r="M35" s="25" t="inlineStr">
        <is>
          <t>BR-REV-02</t>
        </is>
      </c>
    </row>
    <row r="36">
      <c r="A36" s="26" t="n">
        <v>32</v>
      </c>
      <c r="B36" s="26">
        <f>'04_Checklist_UC'!B36</f>
        <v/>
      </c>
      <c r="C36" s="27">
        <f>'04_Checklist_UC'!E36</f>
        <v/>
      </c>
      <c r="D36" s="27">
        <f>'04_Checklist_UC'!F36</f>
        <v/>
      </c>
      <c r="E36" s="27">
        <f>'04_Checklist_UC'!G36</f>
        <v/>
      </c>
      <c r="F36" s="26" t="inlineStr">
        <is>
          <t>Có trong DA</t>
        </is>
      </c>
      <c r="G36" s="27" t="inlineStr">
        <is>
          <t>Câu hỏi của khách hàng</t>
        </is>
      </c>
      <c r="H36" s="27" t="inlineStr">
        <is>
          <t>Câu trả lời và lịch sử trao đổi được lưu</t>
        </is>
      </c>
      <c r="I36" s="27" t="inlineStr">
        <is>
          <t>1. Khách mở cửa sổ tư vấn AI
2. Hệ thống hiển thị lịch sử và ô nhập câu hỏi
3. Khách nhập câu hỏi và gửi
4. Hệ thống kiểm tra nội dung và chuẩn bị thông tin dịch vụ liên quan
5. Hệ thống gửi yêu cầu đến AI
6. AI xử lý và trả kết quả
7. Hệ thống lưu câu hỏi cùng câu trả lời và hiển thị</t>
        </is>
      </c>
      <c r="J36" s="27" t="inlineStr">
        <is>
          <t>A1. Khách hỏi tiếp → Quay lại bước nhập câu hỏi
A2. Khách mở sản phẩm được gợi ý → Chuyển sang thông tin sản phẩm</t>
        </is>
      </c>
      <c r="K36" s="27" t="inlineStr">
        <is>
          <t>E1. Nội dung không hợp lệ → Thông báo và yêu cầu nhập lại
E2. Không nhận được phản hồi → Thông báo chưa thể trả lời và cho khách gửi lại</t>
        </is>
      </c>
      <c r="L36" s="27" t="inlineStr">
        <is>
          <t>Rà soát: hàng 'Usecase name' ghi nhầm 'Xem đánh giá dịch vụ'; bước 7 bị cắt chữ ('hiển th'). Khách vãng lai không lưu được lịch sử vì IdKhachHang not null → đề xuất: khách vãng lai chat không lưu, hoặc chỉ cho khách hàng đăng nhập</t>
        </is>
      </c>
      <c r="M36" s="27" t="inlineStr">
        <is>
          <t>BR-AI-01..04</t>
        </is>
      </c>
    </row>
    <row r="37">
      <c r="A37" s="24" t="n">
        <v>33</v>
      </c>
      <c r="B37" s="24">
        <f>'04_Checklist_UC'!B37</f>
        <v/>
      </c>
      <c r="C37" s="25">
        <f>'04_Checklist_UC'!E37</f>
        <v/>
      </c>
      <c r="D37" s="25">
        <f>'04_Checklist_UC'!F37</f>
        <v/>
      </c>
      <c r="E37" s="25">
        <f>'04_Checklist_UC'!G37</f>
        <v/>
      </c>
      <c r="F37" s="24" t="inlineStr">
        <is>
          <t>Có trong DA</t>
        </is>
      </c>
      <c r="G37" s="25" t="inlineStr">
        <is>
          <t>Khoảng thời gian và tiêu chí thống kê</t>
        </is>
      </c>
      <c r="H37" s="25" t="inlineStr">
        <is>
          <t>Số liệu và biểu đồ thống kê</t>
        </is>
      </c>
      <c r="I37" s="25" t="inlineStr">
        <is>
          <t>1. Chủ spa mở trang báo cáo
2. Hệ thống hiển thị trang thống kê
3. Chủ spa chọn khoảng thời gian và tiêu chí
4. Hệ thống hiển thị số liệu cùng biểu đồ tương ứng</t>
        </is>
      </c>
      <c r="J37" s="25" t="inlineStr">
        <is>
          <t>—</t>
        </is>
      </c>
      <c r="K37" s="25" t="inlineStr">
        <is>
          <t>—</t>
        </is>
      </c>
      <c r="L37" s="25" t="inlineStr">
        <is>
          <t>ĐX: A1 không có dữ liệu → biểu đồ rỗng; A2 xuất Excel. Tiêu chí đề xuất: theo tháng/quý/năm, theo dịch vụ lẻ/gói, theo sản phẩm</t>
        </is>
      </c>
      <c r="M37" s="25" t="inlineStr">
        <is>
          <t>BR-RPT-01, 02</t>
        </is>
      </c>
    </row>
    <row r="38">
      <c r="A38" s="26" t="n">
        <v>34</v>
      </c>
      <c r="B38" s="26">
        <f>'04_Checklist_UC'!B38</f>
        <v/>
      </c>
      <c r="C38" s="27">
        <f>'04_Checklist_UC'!E38</f>
        <v/>
      </c>
      <c r="D38" s="27">
        <f>'04_Checklist_UC'!F38</f>
        <v/>
      </c>
      <c r="E38" s="27">
        <f>'04_Checklist_UC'!G38</f>
        <v/>
      </c>
      <c r="F38" s="26" t="inlineStr">
        <is>
          <t>Có trong DA</t>
        </is>
      </c>
      <c r="G38" s="27" t="inlineStr">
        <is>
          <t>Yêu cầu mở thông báo và thông báo được chọn</t>
        </is>
      </c>
      <c r="H38" s="27" t="inlineStr">
        <is>
          <t>Nội dung thông báo và trạng thái đã đọc</t>
        </is>
      </c>
      <c r="I38" s="27" t="inlineStr">
        <is>
          <t>1. Người dùng mở mục thông báo
2. Hệ thống kiểm tra có thông báo
3. Hệ thống hiển thị danh sách
4. Người dùng chọn một thông báo
5. Hệ thống hiển thị nội dung và đánh dấu đã đọc</t>
        </is>
      </c>
      <c r="J38" s="27" t="inlineStr">
        <is>
          <t>A1. Không có thông báo → Hệ thống hiển thị trạng thái trống và kết thúc</t>
        </is>
      </c>
      <c r="K38" s="27" t="inlineStr">
        <is>
          <t>—</t>
        </is>
      </c>
      <c r="L38" s="27" t="inlineStr">
        <is>
          <t>—</t>
        </is>
      </c>
      <c r="M38" s="27" t="inlineStr">
        <is>
          <t>BR-NTF-01</t>
        </is>
      </c>
    </row>
  </sheetData>
  <autoFilter ref="A4:M38"/>
  <mergeCells count="3">
    <mergeCell ref="A3:M3"/>
    <mergeCell ref="A2:M2"/>
    <mergeCell ref="A1:M1"/>
  </mergeCells>
  <conditionalFormatting sqref="F5:F38">
    <cfRule type="expression" priority="1" dxfId="2">
      <formula>LEFT(F5,2)="ĐX"</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9"/>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4" customWidth="1" min="2" max="2"/>
    <col width="26" customWidth="1" min="3" max="3"/>
    <col width="100" customWidth="1" min="4" max="4"/>
    <col width="28" customWidth="1" min="5" max="5"/>
    <col width="22" customWidth="1" min="6" max="6"/>
    <col width="30" customWidth="1" min="7" max="7"/>
  </cols>
  <sheetData>
    <row r="1" ht="26" customHeight="1">
      <c r="A1" s="1" t="inlineStr">
        <is>
          <t>06 · BUSINESS RULES</t>
        </is>
      </c>
    </row>
    <row r="2">
      <c r="A2" s="2" t="inlineStr">
        <is>
          <t>45 quy tắc</t>
        </is>
      </c>
    </row>
    <row r="3" ht="30" customHeight="1">
      <c r="A3" s="3" t="inlineStr">
        <is>
          <t>Cột Nguồn: DA = suy ra trực tiếp từ đặc tả/ràng buộc của DA; ĐX = tham số hoặc quy tắc đề xuất cần chốt.</t>
        </is>
      </c>
    </row>
    <row r="4" ht="32" customHeight="1">
      <c r="A4" s="4" t="inlineStr">
        <is>
          <t>Mã BR</t>
        </is>
      </c>
      <c r="B4" s="4" t="inlineStr">
        <is>
          <t>Nhóm</t>
        </is>
      </c>
      <c r="C4" s="4" t="inlineStr">
        <is>
          <t>Tên quy tắc</t>
        </is>
      </c>
      <c r="D4" s="4" t="inlineStr">
        <is>
          <t>Quy tắc chi tiết</t>
        </is>
      </c>
      <c r="E4" s="4" t="inlineStr">
        <is>
          <t>Enforce ở đâu</t>
        </is>
      </c>
      <c r="F4" s="4" t="inlineStr">
        <is>
          <t>UC liên quan</t>
        </is>
      </c>
      <c r="G4" s="4" t="inlineStr">
        <is>
          <t>Nguồn</t>
        </is>
      </c>
    </row>
    <row r="5">
      <c r="A5" s="24" t="inlineStr">
        <is>
          <t>BR-GEN-01</t>
        </is>
      </c>
      <c r="B5" s="25" t="inlineStr">
        <is>
          <t>Chung</t>
        </is>
      </c>
      <c r="C5" s="25" t="inlineStr">
        <is>
          <t>Thời gian</t>
        </is>
      </c>
      <c r="D5" s="25" t="inlineStr">
        <is>
          <t>NgayHen/Ngay + Gio (TIME) hiểu theo giờ Asia/Ho_Chi_Minh; các cột DATETIME lưu UTC (timestamptz)</t>
        </is>
      </c>
      <c r="E5" s="25" t="inlineStr">
        <is>
          <t>Domain + EF Core</t>
        </is>
      </c>
      <c r="F5" s="25" t="inlineStr">
        <is>
          <t>Tất cả</t>
        </is>
      </c>
      <c r="G5" s="25" t="inlineStr">
        <is>
          <t>ĐX</t>
        </is>
      </c>
    </row>
    <row r="6">
      <c r="A6" s="26" t="inlineStr">
        <is>
          <t>BR-AUTH-01</t>
        </is>
      </c>
      <c r="B6" s="27" t="inlineStr">
        <is>
          <t>Tài khoản</t>
        </is>
      </c>
      <c r="C6" s="27" t="inlineStr">
        <is>
          <t>OTP email</t>
        </is>
      </c>
      <c r="D6" s="27" t="inlineStr">
        <is>
          <t>OTP 6 chữ số, hết hạn 5 phút, dùng 1 lần, lưu dạng hash; tối đa 5 lần nhập sai; gửi lại sau 60 giây</t>
        </is>
      </c>
      <c r="E6" s="27" t="inlineStr">
        <is>
          <t>Application + MaOtp</t>
        </is>
      </c>
      <c r="F6" s="27" t="inlineStr">
        <is>
          <t>UC-SPA-01, 03</t>
        </is>
      </c>
      <c r="G6" s="27" t="inlineStr">
        <is>
          <t>DA (OTP) + ĐX (tham số)</t>
        </is>
      </c>
    </row>
    <row r="7">
      <c r="A7" s="24" t="inlineStr">
        <is>
          <t>BR-AUTH-02</t>
        </is>
      </c>
      <c r="B7" s="25" t="inlineStr">
        <is>
          <t>Tài khoản</t>
        </is>
      </c>
      <c r="C7" s="25" t="inlineStr">
        <is>
          <t>Mật khẩu</t>
        </is>
      </c>
      <c r="D7" s="25" t="inlineStr">
        <is>
          <t>Băm bằng ASP.NET Core Identity PasswordHasher; tối thiểu 8 ký tự gồm chữ và số; xác nhận phải khớp</t>
        </is>
      </c>
      <c r="E7" s="25" t="inlineStr">
        <is>
          <t>Validator</t>
        </is>
      </c>
      <c r="F7" s="25" t="inlineStr">
        <is>
          <t>UC-SPA-01, 03, 04</t>
        </is>
      </c>
      <c r="G7" s="25" t="inlineStr">
        <is>
          <t>DA (cơ chế băm) + ĐX</t>
        </is>
      </c>
    </row>
    <row r="8">
      <c r="A8" s="26" t="inlineStr">
        <is>
          <t>BR-AUTH-03</t>
        </is>
      </c>
      <c r="B8" s="27" t="inlineStr">
        <is>
          <t>Tài khoản</t>
        </is>
      </c>
      <c r="C8" s="27" t="inlineStr">
        <is>
          <t>Đăng nhập theo trạng thái</t>
        </is>
      </c>
      <c r="D8" s="27" t="inlineStr">
        <is>
          <t>Chỉ TrangThai = HoatDong được đăng nhập; BiKhoa/NgungHoatDong → từ chối (UC-SPA-02 E2); JWT chứa vai trò</t>
        </is>
      </c>
      <c r="E8" s="27" t="inlineStr">
        <is>
          <t>Application</t>
        </is>
      </c>
      <c r="F8" s="27" t="inlineStr">
        <is>
          <t>UC-SPA-02</t>
        </is>
      </c>
      <c r="G8" s="27" t="inlineStr">
        <is>
          <t>DA</t>
        </is>
      </c>
    </row>
    <row r="9">
      <c r="A9" s="24" t="inlineStr">
        <is>
          <t>BR-AUTH-04</t>
        </is>
      </c>
      <c r="B9" s="25" t="inlineStr">
        <is>
          <t>Tài khoản</t>
        </is>
      </c>
      <c r="C9" s="25" t="inlineStr">
        <is>
          <t>Duy nhất</t>
        </is>
      </c>
      <c r="D9" s="25" t="inlineStr">
        <is>
          <t>Email và SDT unique trên NguoiDung; người dùng không tự đổi VaiTro/TrangThai</t>
        </is>
      </c>
      <c r="E9" s="25" t="inlineStr">
        <is>
          <t>DB unique + Application</t>
        </is>
      </c>
      <c r="F9" s="25" t="inlineStr">
        <is>
          <t>UC-SPA-01, 04, 05</t>
        </is>
      </c>
      <c r="G9" s="25" t="inlineStr">
        <is>
          <t>DA (ràng buộc unique)</t>
        </is>
      </c>
    </row>
    <row r="10">
      <c r="A10" s="26" t="inlineStr">
        <is>
          <t>BR-AUTH-05</t>
        </is>
      </c>
      <c r="B10" s="27" t="inlineStr">
        <is>
          <t>Tài khoản</t>
        </is>
      </c>
      <c r="C10" s="27" t="inlineStr">
        <is>
          <t>Khóa tài khoản</t>
        </is>
      </c>
      <c r="D10" s="27" t="inlineStr">
        <is>
          <t>Chủ spa khóa/mở khóa; khóa → thu hồi phiên; không tự khóa chính mình</t>
        </is>
      </c>
      <c r="E10" s="27" t="inlineStr">
        <is>
          <t>Application</t>
        </is>
      </c>
      <c r="F10" s="27" t="inlineStr">
        <is>
          <t>UC-SPA-05</t>
        </is>
      </c>
      <c r="G10" s="27" t="inlineStr">
        <is>
          <t>DA + ĐX</t>
        </is>
      </c>
    </row>
    <row r="11">
      <c r="A11" s="24" t="inlineStr">
        <is>
          <t>BR-CAT-01</t>
        </is>
      </c>
      <c r="B11" s="25" t="inlineStr">
        <is>
          <t>Dịch vụ</t>
        </is>
      </c>
      <c r="C11" s="25" t="inlineStr">
        <is>
          <t>Hiển thị cho khách</t>
        </is>
      </c>
      <c r="D11" s="25" t="inlineStr">
        <is>
          <t>Chỉ DichVu/GoiDichVu TrangThai = DangBan (gói: thêm điều kiện trong NgayBatDauBan–NgayKetThucBan nếu có)</t>
        </is>
      </c>
      <c r="E11" s="25" t="inlineStr">
        <is>
          <t>Query</t>
        </is>
      </c>
      <c r="F11" s="25" t="inlineStr">
        <is>
          <t>UC-SPA-06, 07</t>
        </is>
      </c>
      <c r="G11" s="25" t="inlineStr">
        <is>
          <t>DA</t>
        </is>
      </c>
    </row>
    <row r="12">
      <c r="A12" s="26" t="inlineStr">
        <is>
          <t>BR-CAT-02</t>
        </is>
      </c>
      <c r="B12" s="27" t="inlineStr">
        <is>
          <t>Dịch vụ</t>
        </is>
      </c>
      <c r="C12" s="27" t="inlineStr">
        <is>
          <t>Miền giá trị</t>
        </is>
      </c>
      <c r="D12" s="27" t="inlineStr">
        <is>
          <t>ThoiLuongPhut &gt; 0; Gia ≥ 0; ThoiHanNgay &gt; 0; SoBuoi &gt; 0; ThuTu &gt; 0; KhoangCachNgayToiThieu ≥ 0; NgayKetThucBan ≥ NgayBatDauBan</t>
        </is>
      </c>
      <c r="E12" s="27" t="inlineStr">
        <is>
          <t>DB CHECK + Validator</t>
        </is>
      </c>
      <c r="F12" s="27" t="inlineStr">
        <is>
          <t>UC-SPA-09</t>
        </is>
      </c>
      <c r="G12" s="27" t="inlineStr">
        <is>
          <t>DA</t>
        </is>
      </c>
    </row>
    <row r="13">
      <c r="A13" s="24" t="inlineStr">
        <is>
          <t>BR-CAT-03</t>
        </is>
      </c>
      <c r="B13" s="25" t="inlineStr">
        <is>
          <t>Dịch vụ</t>
        </is>
      </c>
      <c r="C13" s="25" t="inlineStr">
        <is>
          <t>Ngừng bán thay vì xóa</t>
        </is>
      </c>
      <c r="D13" s="25" t="inlineStr">
        <is>
          <t>Dịch vụ/gói đã phát sinh đơn hoặc lịch hẹn chỉ được chuyển NgungBan; tên, giá đã lưu snapshot ở ChiTietDonHang, GoiKhachHang, BuoiChamSoc</t>
        </is>
      </c>
      <c r="E13" s="25" t="inlineStr">
        <is>
          <t>Application + FK RESTRICT</t>
        </is>
      </c>
      <c r="F13" s="25" t="inlineStr">
        <is>
          <t>UC-SPA-09</t>
        </is>
      </c>
      <c r="G13" s="25" t="inlineStr">
        <is>
          <t>DA (UC A2 + cột snapshot)</t>
        </is>
      </c>
    </row>
    <row r="14">
      <c r="A14" s="26" t="inlineStr">
        <is>
          <t>BR-ORD-01</t>
        </is>
      </c>
      <c r="B14" s="27" t="inlineStr">
        <is>
          <t>Giỏ &amp; đơn</t>
        </is>
      </c>
      <c r="C14" s="27" t="inlineStr">
        <is>
          <t>Giỏ hàng</t>
        </is>
      </c>
      <c r="D14" s="27" t="inlineStr">
        <is>
          <t>Mỗi khách 1 GioHang; không thêm trùng sản phẩm; mỗi ChiTietGioHang có đúng một trong IdDichVu/IdGoiDichVu</t>
        </is>
      </c>
      <c r="E14" s="27" t="inlineStr">
        <is>
          <t>DB unique + CHECK</t>
        </is>
      </c>
      <c r="F14" s="27" t="inlineStr">
        <is>
          <t>UC-SPA-10</t>
        </is>
      </c>
      <c r="G14" s="27" t="inlineStr">
        <is>
          <t>DA</t>
        </is>
      </c>
    </row>
    <row r="15">
      <c r="A15" s="24" t="inlineStr">
        <is>
          <t>BR-ORD-02</t>
        </is>
      </c>
      <c r="B15" s="25" t="inlineStr">
        <is>
          <t>Giỏ &amp; đơn</t>
        </is>
      </c>
      <c r="C15" s="25" t="inlineStr">
        <is>
          <t>Tính tiền phía server</t>
        </is>
      </c>
      <c r="D15" s="25" t="inlineStr">
        <is>
          <t>Khi thanh toán lấy lại giá hiện tại và kiểm tra còn bán; TongThanhToan = TongTienHang − TongGiamGia; ThanhTien = DonGia − TienGiam</t>
        </is>
      </c>
      <c r="E15" s="25" t="inlineStr">
        <is>
          <t>Application + CHECK</t>
        </is>
      </c>
      <c r="F15" s="25" t="inlineStr">
        <is>
          <t>UC-SPA-11</t>
        </is>
      </c>
      <c r="G15" s="25" t="inlineStr">
        <is>
          <t>DA</t>
        </is>
      </c>
    </row>
    <row r="16">
      <c r="A16" s="26" t="inlineStr">
        <is>
          <t>BR-ORD-03</t>
        </is>
      </c>
      <c r="B16" s="27" t="inlineStr">
        <is>
          <t>Giỏ &amp; đơn</t>
        </is>
      </c>
      <c r="C16" s="27" t="inlineStr">
        <is>
          <t>Thời hạn thanh toán</t>
        </is>
      </c>
      <c r="D16" s="27" t="inlineStr">
        <is>
          <t>Đơn ChoThanhToan hết hạn tại HetHanThanhToanLuc (đề xuất 15 phút) → HetHan, giải phóng lịch giữ chỗ</t>
        </is>
      </c>
      <c r="E16" s="27" t="inlineStr">
        <is>
          <t>Job nền</t>
        </is>
      </c>
      <c r="F16" s="27" t="inlineStr">
        <is>
          <t>UC-SPA-11, 15</t>
        </is>
      </c>
      <c r="G16" s="27" t="inlineStr">
        <is>
          <t>DA (cột) + ĐX (thời lượng)</t>
        </is>
      </c>
    </row>
    <row r="17">
      <c r="A17" s="24" t="inlineStr">
        <is>
          <t>BR-ORD-04</t>
        </is>
      </c>
      <c r="B17" s="25" t="inlineStr">
        <is>
          <t>Giỏ &amp; đơn</t>
        </is>
      </c>
      <c r="C17" s="25" t="inlineStr">
        <is>
          <t>Hủy đơn</t>
        </is>
      </c>
      <c r="D17" s="25" t="inlineStr">
        <is>
          <t>Khách hoặc chủ spa chỉ hủy đơn chưa thanh toán; hủy kéo theo hủy lịch GiuCho liên kết</t>
        </is>
      </c>
      <c r="E17" s="25" t="inlineStr">
        <is>
          <t>Application</t>
        </is>
      </c>
      <c r="F17" s="25" t="inlineStr">
        <is>
          <t>UC-SPA-12, 13</t>
        </is>
      </c>
      <c r="G17" s="25" t="inlineStr">
        <is>
          <t>DA</t>
        </is>
      </c>
    </row>
    <row r="18">
      <c r="A18" s="26" t="inlineStr">
        <is>
          <t>BR-ORD-05</t>
        </is>
      </c>
      <c r="B18" s="27" t="inlineStr">
        <is>
          <t>Giỏ &amp; đơn</t>
        </is>
      </c>
      <c r="C18" s="27" t="inlineStr">
        <is>
          <t>Kết quả thanh toán tin cậy</t>
        </is>
      </c>
      <c r="D18" s="27" t="inlineStr">
        <is>
          <t>Chỉ ghi nhận từ webhook/IPN đã xác thực chữ ký và đúng số tiền; idempotent theo MaYeuCau; return URL chỉ để hiển thị; một đơn có thể nhiều ThanhToan nhưng chỉ một ThanhCong</t>
        </is>
      </c>
      <c r="E18" s="27" t="inlineStr">
        <is>
          <t>Infrastructure Payments</t>
        </is>
      </c>
      <c r="F18" s="27" t="inlineStr">
        <is>
          <t>UC-SPA-11</t>
        </is>
      </c>
      <c r="G18" s="27" t="inlineStr">
        <is>
          <t>DA (kiểm tra kết quả hợp lệ) + ĐX</t>
        </is>
      </c>
    </row>
    <row r="19">
      <c r="A19" s="24" t="inlineStr">
        <is>
          <t>BR-ORD-06</t>
        </is>
      </c>
      <c r="B19" s="25" t="inlineStr">
        <is>
          <t>Giỏ &amp; đơn</t>
        </is>
      </c>
      <c r="C19" s="25" t="inlineStr">
        <is>
          <t>Tạo quyền sử dụng</t>
        </is>
      </c>
      <c r="D19" s="25" t="inlineStr">
        <is>
          <t>Đơn DaThanhToan: mỗi ChiTietDonHang dịch vụ → 1 DichVuKhachHang; mỗi chi tiết gói → GoiKhachHang (TongSoBuoi = Σ SoBuoi) + LieuTrinh + BuoiChamSoc (sinh theo ThuTu × SoBuoi); thực hiện 1 lần (IdChiTietDonHang unique)</t>
        </is>
      </c>
      <c r="E19" s="25" t="inlineStr">
        <is>
          <t>Application (1 giao dịch)</t>
        </is>
      </c>
      <c r="F19" s="25" t="inlineStr">
        <is>
          <t>UC-SPA-11</t>
        </is>
      </c>
      <c r="G19" s="25" t="inlineStr">
        <is>
          <t>DA (bảng + unique)</t>
        </is>
      </c>
    </row>
    <row r="20">
      <c r="A20" s="26" t="inlineStr">
        <is>
          <t>BR-PRM-01</t>
        </is>
      </c>
      <c r="B20" s="27" t="inlineStr">
        <is>
          <t>Khuyến mãi</t>
        </is>
      </c>
      <c r="C20" s="27" t="inlineStr">
        <is>
          <t>Điều kiện áp dụng</t>
        </is>
      </c>
      <c r="D20" s="27" t="inlineStr">
        <is>
          <t>TrangThai HoatDong; trong [NgayBatDau, NgayKetThuc]; TongTienHang ≥ GiaTriDonHangToiThieu; số lượt đã dùng &lt; SoLuong; lượt của khách &lt; GioiHanMoiKhach</t>
        </is>
      </c>
      <c r="E20" s="27" t="inlineStr">
        <is>
          <t>Application</t>
        </is>
      </c>
      <c r="F20" s="27" t="inlineStr">
        <is>
          <t>UC-SPA-11, 14</t>
        </is>
      </c>
      <c r="G20" s="27" t="inlineStr">
        <is>
          <t>DA</t>
        </is>
      </c>
    </row>
    <row r="21">
      <c r="A21" s="24" t="inlineStr">
        <is>
          <t>BR-PRM-02</t>
        </is>
      </c>
      <c r="B21" s="25" t="inlineStr">
        <is>
          <t>Khuyến mãi</t>
        </is>
      </c>
      <c r="C21" s="25" t="inlineStr">
        <is>
          <t>Tính số tiền giảm</t>
        </is>
      </c>
      <c r="D21" s="25" t="inlineStr">
        <is>
          <t>PhanTram: TongTienHang × GiaTri% chặn bởi GiaTriGiamToiDa; SoTien: min(GiaTri, TongTienHang); phân bổ TienGiam xuống ChiTietDonHang theo tỉ lệ</t>
        </is>
      </c>
      <c r="E21" s="25" t="inlineStr">
        <is>
          <t>Domain</t>
        </is>
      </c>
      <c r="F21" s="25" t="inlineStr">
        <is>
          <t>UC-SPA-11</t>
        </is>
      </c>
      <c r="G21" s="25" t="inlineStr">
        <is>
          <t>DA (cột) + ĐX (cách phân bổ)</t>
        </is>
      </c>
    </row>
    <row r="22">
      <c r="A22" s="26" t="inlineStr">
        <is>
          <t>BR-PRM-03</t>
        </is>
      </c>
      <c r="B22" s="27" t="inlineStr">
        <is>
          <t>Khuyến mãi</t>
        </is>
      </c>
      <c r="C22" s="27" t="inlineStr">
        <is>
          <t>Một mã mỗi đơn</t>
        </is>
      </c>
      <c r="D22" s="27" t="inlineStr">
        <is>
          <t>ApDungKhuyenMai.IdDonHang unique; lượt chỉ tính cho đơn DaThanhToan (đơn hủy/hết hạn không tính)</t>
        </is>
      </c>
      <c r="E22" s="27" t="inlineStr">
        <is>
          <t>DB unique + query</t>
        </is>
      </c>
      <c r="F22" s="27" t="inlineStr">
        <is>
          <t>UC-SPA-11</t>
        </is>
      </c>
      <c r="G22" s="27" t="inlineStr">
        <is>
          <t>DA (unique) + ĐX</t>
        </is>
      </c>
    </row>
    <row r="23">
      <c r="A23" s="24" t="inlineStr">
        <is>
          <t>BR-BKG-01</t>
        </is>
      </c>
      <c r="B23" s="25" t="inlineStr">
        <is>
          <t>Đặt lịch</t>
        </is>
      </c>
      <c r="C23" s="25" t="inlineStr">
        <is>
          <t>Không trùng lịch nhân viên</t>
        </is>
      </c>
      <c r="D23" s="25" t="inlineStr">
        <is>
          <t>Khoảng [NgayHen+GioBatDau, NgayHen+GioKetThuc) không giao với lịch khác của cùng IdNhanVien ở trạng thái chiếm chỗ (GiuCho còn hạn, ChoXacNhan, DaXacNhan). Bảo vệ 2 lớp: kiểm tra trong giao dịch + EXCLUDE USING gist ("IdNhanVien" WITH =, tsrange("NgayHen"+"GioBatDau", "NgayHen"+"GioKetThuc") WITH &amp;&amp;) WHERE trạng thái chiếm chỗ</t>
        </is>
      </c>
      <c r="E23" s="25" t="inlineStr">
        <is>
          <t>Application + PostgreSQL btree_gist</t>
        </is>
      </c>
      <c r="F23" s="25" t="inlineStr">
        <is>
          <t>UC-SPA-15, 16, 17</t>
        </is>
      </c>
      <c r="G23" s="25" t="inlineStr">
        <is>
          <t>DA (Mở đầu: giao dịch + ràng buộc CSDL)</t>
        </is>
      </c>
    </row>
    <row r="24">
      <c r="A24" s="26" t="inlineStr">
        <is>
          <t>BR-BKG-02</t>
        </is>
      </c>
      <c r="B24" s="27" t="inlineStr">
        <is>
          <t>Đặt lịch</t>
        </is>
      </c>
      <c r="C24" s="27" t="inlineStr">
        <is>
          <t>Nằm trong ca làm</t>
        </is>
      </c>
      <c r="D24" s="27" t="inlineStr">
        <is>
          <t>Khung giờ nằm trọn trong một LichLamViec TrangThai HoatDong của nhân viên trong ngày; nhân viên chưa nghỉ việc</t>
        </is>
      </c>
      <c r="E24" s="27" t="inlineStr">
        <is>
          <t>Thuật toán</t>
        </is>
      </c>
      <c r="F24" s="27" t="inlineStr">
        <is>
          <t>UC-SPA-15, 23</t>
        </is>
      </c>
      <c r="G24" s="27" t="inlineStr">
        <is>
          <t>DA</t>
        </is>
      </c>
    </row>
    <row r="25">
      <c r="A25" s="24" t="inlineStr">
        <is>
          <t>BR-BKG-03</t>
        </is>
      </c>
      <c r="B25" s="25" t="inlineStr">
        <is>
          <t>Đặt lịch</t>
        </is>
      </c>
      <c r="C25" s="25" t="inlineStr">
        <is>
          <t>Đúng kỹ năng</t>
        </is>
      </c>
      <c r="D25" s="25" t="inlineStr">
        <is>
          <t>Nhân viên phải có NhanVien_DichVu cho dịch vụ (với buổi gói: BuoiChamSoc.IdDichVu)</t>
        </is>
      </c>
      <c r="E25" s="25" t="inlineStr">
        <is>
          <t>Application</t>
        </is>
      </c>
      <c r="F25" s="25" t="inlineStr">
        <is>
          <t>UC-SPA-15, 17</t>
        </is>
      </c>
      <c r="G25" s="25" t="inlineStr">
        <is>
          <t>DA</t>
        </is>
      </c>
    </row>
    <row r="26">
      <c r="A26" s="26" t="inlineStr">
        <is>
          <t>BR-BKG-04</t>
        </is>
      </c>
      <c r="B26" s="27" t="inlineStr">
        <is>
          <t>Đặt lịch</t>
        </is>
      </c>
      <c r="C26" s="27" t="inlineStr">
        <is>
          <t>Không trùng lịch khách</t>
        </is>
      </c>
      <c r="D26" s="27" t="inlineStr">
        <is>
          <t>Một khách không có 2 lịch chiếm chỗ giao nhau về thời gian</t>
        </is>
      </c>
      <c r="E26" s="27" t="inlineStr">
        <is>
          <t>Application</t>
        </is>
      </c>
      <c r="F26" s="27" t="inlineStr">
        <is>
          <t>UC-SPA-15, 16</t>
        </is>
      </c>
      <c r="G26" s="27" t="inlineStr">
        <is>
          <t>DA (mục tiêu: tránh trùng giữa khách hàng và nhân viên)</t>
        </is>
      </c>
    </row>
    <row r="27">
      <c r="A27" s="24" t="inlineStr">
        <is>
          <t>BR-BKG-05</t>
        </is>
      </c>
      <c r="B27" s="25" t="inlineStr">
        <is>
          <t>Đặt lịch</t>
        </is>
      </c>
      <c r="C27" s="25" t="inlineStr">
        <is>
          <t>Điều kiện đặt buổi trong gói</t>
        </is>
      </c>
      <c r="D27" s="25" t="inlineStr">
        <is>
          <t>GoiKhachHang DangSuDung và chưa quá NgayHetHan; BuoiChamSoc ChuaDat; các buổi ThuTu nhỏ hơn đã DaDatLich/HoanThanh; cách buổi trước ≥ KhoangCachNgayToiThieu của dịch vụ trong gói</t>
        </is>
      </c>
      <c r="E27" s="25" t="inlineStr">
        <is>
          <t>Application</t>
        </is>
      </c>
      <c r="F27" s="25" t="inlineStr">
        <is>
          <t>UC-SPA-15, 19</t>
        </is>
      </c>
      <c r="G27" s="25" t="inlineStr">
        <is>
          <t>DA (luồng 2 bước 4)</t>
        </is>
      </c>
    </row>
    <row r="28">
      <c r="A28" s="26" t="inlineStr">
        <is>
          <t>BR-BKG-06</t>
        </is>
      </c>
      <c r="B28" s="27" t="inlineStr">
        <is>
          <t>Đặt lịch</t>
        </is>
      </c>
      <c r="C28" s="27" t="inlineStr">
        <is>
          <t>Giữ chỗ luồng 1</t>
        </is>
      </c>
      <c r="D28" s="27" t="inlineStr">
        <is>
          <t>Đặt ngay → LichHen GiuCho, GiuChoDen = now + 15 phút (= HetHanThanhToanLuc); thanh toán thành công trong hạn → DaXacNhan; quá hạn/thất bại → HetHanGiuCho, giải phóng</t>
        </is>
      </c>
      <c r="E28" s="27" t="inlineStr">
        <is>
          <t>Application + Job</t>
        </is>
      </c>
      <c r="F28" s="27" t="inlineStr">
        <is>
          <t>UC-SPA-15</t>
        </is>
      </c>
      <c r="G28" s="27" t="inlineStr">
        <is>
          <t>DA (luồng 1) + ĐX (15 phút)</t>
        </is>
      </c>
    </row>
    <row r="29">
      <c r="A29" s="24" t="inlineStr">
        <is>
          <t>BR-BKG-07</t>
        </is>
      </c>
      <c r="B29" s="25" t="inlineStr">
        <is>
          <t>Đặt lịch</t>
        </is>
      </c>
      <c r="C29" s="25" t="inlineStr">
        <is>
          <t>Đổi/hủy của khách</t>
        </is>
      </c>
      <c r="D29" s="25" t="inlineStr">
        <is>
          <t>Cho phép khi lịch chưa diễn ra và còn trước giờ hẹn ≥ N giờ (đề xuất 24h, cần chủ spa chốt); hủy hợp lệ trả quyền: DichVuKhachHang → ChuaSuDung, BuoiChamSoc → ChuaDat</t>
        </is>
      </c>
      <c r="E29" s="25" t="inlineStr">
        <is>
          <t>Application</t>
        </is>
      </c>
      <c r="F29" s="25" t="inlineStr">
        <is>
          <t>UC-SPA-16</t>
        </is>
      </c>
      <c r="G29" s="25" t="inlineStr">
        <is>
          <t>DA ('khi được phép') + ĐX (N giờ)</t>
        </is>
      </c>
    </row>
    <row r="30">
      <c r="A30" s="26" t="inlineStr">
        <is>
          <t>BR-BKG-08</t>
        </is>
      </c>
      <c r="B30" s="27" t="inlineStr">
        <is>
          <t>Đặt lịch</t>
        </is>
      </c>
      <c r="C30" s="27" t="inlineStr">
        <is>
          <t>Khách không đến</t>
        </is>
      </c>
      <c r="D30" s="27" t="inlineStr">
        <is>
          <t>Chủ spa ghi nhận KhongDen sau giờ bắt đầu; có trừ lượt/buổi hay không cần chủ spa chốt (đề xuất: không trừ)</t>
        </is>
      </c>
      <c r="E30" s="27" t="inlineStr">
        <is>
          <t>Application</t>
        </is>
      </c>
      <c r="F30" s="27" t="inlineStr">
        <is>
          <t>UC-SPA-17</t>
        </is>
      </c>
      <c r="G30" s="27" t="inlineStr">
        <is>
          <t>DA (A3) + ĐX</t>
        </is>
      </c>
    </row>
    <row r="31">
      <c r="A31" s="24" t="inlineStr">
        <is>
          <t>BR-TRT-01</t>
        </is>
      </c>
      <c r="B31" s="25" t="inlineStr">
        <is>
          <t>Quyền sử dụng</t>
        </is>
      </c>
      <c r="C31" s="25" t="inlineStr">
        <is>
          <t>Hạn dùng</t>
        </is>
      </c>
      <c r="D31" s="25" t="inlineStr">
        <is>
          <t>GoiKhachHang.NgayHetHan = NgayKichHoat + ThoiHanNgay (kích hoạt khi thanh toán — đề xuất); DichVuKhachHang.NgayHetHan null = không giới hạn (cần chốt); job đánh dấu HetHan</t>
        </is>
      </c>
      <c r="E31" s="25" t="inlineStr">
        <is>
          <t>Application + Job</t>
        </is>
      </c>
      <c r="F31" s="25" t="inlineStr">
        <is>
          <t>UC-SPA-18</t>
        </is>
      </c>
      <c r="G31" s="25" t="inlineStr">
        <is>
          <t>DA (cột) + ĐX</t>
        </is>
      </c>
    </row>
    <row r="32">
      <c r="A32" s="26" t="inlineStr">
        <is>
          <t>BR-TRT-02</t>
        </is>
      </c>
      <c r="B32" s="27" t="inlineStr">
        <is>
          <t>Quyền sử dụng</t>
        </is>
      </c>
      <c r="C32" s="27" t="inlineStr">
        <is>
          <t>Trạng thái quyền</t>
        </is>
      </c>
      <c r="D32" s="27" t="inlineStr">
        <is>
          <t>DichVuKhachHang: ChuaSuDung → DaDatLich (đặt) → DaSuDung (hoàn thành); hủy lịch → ChuaSuDung</t>
        </is>
      </c>
      <c r="E32" s="27" t="inlineStr">
        <is>
          <t>Domain</t>
        </is>
      </c>
      <c r="F32" s="27" t="inlineStr">
        <is>
          <t>UC-SPA-15, 16, 28</t>
        </is>
      </c>
      <c r="G32" s="27" t="inlineStr">
        <is>
          <t>ĐX</t>
        </is>
      </c>
    </row>
    <row r="33">
      <c r="A33" s="24" t="inlineStr">
        <is>
          <t>BR-TRT-03</t>
        </is>
      </c>
      <c r="B33" s="25" t="inlineStr">
        <is>
          <t>Quyền sử dụng</t>
        </is>
      </c>
      <c r="C33" s="25" t="inlineStr">
        <is>
          <t>Tiến độ gói</t>
        </is>
      </c>
      <c r="D33" s="25" t="inlineStr">
        <is>
          <t>Hoàn thành buổi: BuoiChamSoc HoanThanh + NgayHoanThanh; GoiKhachHang.SoBuoiDaDung + 1 (0 ≤ SoBuoiDaDung ≤ TongSoBuoi); đủ buổi → GoiKhachHang HoanThanh, LieuTrinh HoanThanh + NgayKetThucThucTe</t>
        </is>
      </c>
      <c r="E33" s="25" t="inlineStr">
        <is>
          <t>Domain + CHECK</t>
        </is>
      </c>
      <c r="F33" s="25" t="inlineStr">
        <is>
          <t>UC-SPA-28, 19, 21</t>
        </is>
      </c>
      <c r="G33" s="25" t="inlineStr">
        <is>
          <t>DA (UC A1 + ràng buộc)</t>
        </is>
      </c>
    </row>
    <row r="34">
      <c r="A34" s="26" t="inlineStr">
        <is>
          <t>BR-STF-01</t>
        </is>
      </c>
      <c r="B34" s="27" t="inlineStr">
        <is>
          <t>Nhân viên</t>
        </is>
      </c>
      <c r="C34" s="27" t="inlineStr">
        <is>
          <t>Nghỉ việc</t>
        </is>
      </c>
      <c r="D34" s="27" t="inlineStr">
        <is>
          <t>NgayNghiViec ≥ NgayVaoLam; từ ngày nghỉ không xếp ca/nhận lịch mới; lịch hẹn sau ngày nghỉ phải được phân công lại</t>
        </is>
      </c>
      <c r="E34" s="27" t="inlineStr">
        <is>
          <t>Application + CHECK</t>
        </is>
      </c>
      <c r="F34" s="27" t="inlineStr">
        <is>
          <t>UC-SPA-22</t>
        </is>
      </c>
      <c r="G34" s="27" t="inlineStr">
        <is>
          <t>DA (ràng buộc) + ĐX</t>
        </is>
      </c>
    </row>
    <row r="35">
      <c r="A35" s="24" t="inlineStr">
        <is>
          <t>BR-STF-02</t>
        </is>
      </c>
      <c r="B35" s="25" t="inlineStr">
        <is>
          <t>Nhân viên</t>
        </is>
      </c>
      <c r="C35" s="25" t="inlineStr">
        <is>
          <t>Tài khoản nhân viên</t>
        </is>
      </c>
      <c r="D35" s="25" t="inlineStr">
        <is>
          <t>Thêm nhân viên tạo NguoiDung VaiTro NhanVien + NhanVien (1-1); nghỉ việc → NguoiDung NgungHoatDong</t>
        </is>
      </c>
      <c r="E35" s="25" t="inlineStr">
        <is>
          <t>Application</t>
        </is>
      </c>
      <c r="F35" s="25" t="inlineStr">
        <is>
          <t>UC-SPA-22</t>
        </is>
      </c>
      <c r="G35" s="25" t="inlineStr">
        <is>
          <t>DA (mô hình 1-1)</t>
        </is>
      </c>
    </row>
    <row r="36">
      <c r="A36" s="26" t="inlineStr">
        <is>
          <t>BR-STF-03</t>
        </is>
      </c>
      <c r="B36" s="27" t="inlineStr">
        <is>
          <t>Nhân viên</t>
        </is>
      </c>
      <c r="C36" s="27" t="inlineStr">
        <is>
          <t>Ca làm</t>
        </is>
      </c>
      <c r="D36" s="27" t="inlineStr">
        <is>
          <t>GioKetThuc &gt; GioBatDau; không chồng ca cùng nhân viên cùng ngày; sửa/hủy ca không được làm lịch hẹn chiếm chỗ rơi ra ngoài ca (E1 xung đột)</t>
        </is>
      </c>
      <c r="E36" s="27" t="inlineStr">
        <is>
          <t>Application + CHECK</t>
        </is>
      </c>
      <c r="F36" s="27" t="inlineStr">
        <is>
          <t>UC-SPA-23</t>
        </is>
      </c>
      <c r="G36" s="27" t="inlineStr">
        <is>
          <t>DA</t>
        </is>
      </c>
    </row>
    <row r="37">
      <c r="A37" s="24" t="inlineStr">
        <is>
          <t>BR-CARE-01</t>
        </is>
      </c>
      <c r="B37" s="25" t="inlineStr">
        <is>
          <t>Hồ sơ da</t>
        </is>
      </c>
      <c r="C37" s="25" t="inlineStr">
        <is>
          <t>Một hồ sơ mỗi lịch hẹn</t>
        </is>
      </c>
      <c r="D37" s="25" t="inlineStr">
        <is>
          <t>HoSoDa.IdLichHen unique; LoaiDa bắt buộc; chỉ nhân viên của lịch hẹn lập/sửa</t>
        </is>
      </c>
      <c r="E37" s="25" t="inlineStr">
        <is>
          <t>DB unique + Application</t>
        </is>
      </c>
      <c r="F37" s="25" t="inlineStr">
        <is>
          <t>UC-SPA-27</t>
        </is>
      </c>
      <c r="G37" s="25" t="inlineStr">
        <is>
          <t>DA</t>
        </is>
      </c>
    </row>
    <row r="38">
      <c r="A38" s="26" t="inlineStr">
        <is>
          <t>BR-CARE-02</t>
        </is>
      </c>
      <c r="B38" s="27" t="inlineStr">
        <is>
          <t>Hồ sơ da</t>
        </is>
      </c>
      <c r="C38" s="27" t="inlineStr">
        <is>
          <t>Dị ứng</t>
        </is>
      </c>
      <c r="D38" s="27" t="inlineStr">
        <is>
          <t>DiUngKhachHang gắn với khách (không theo lịch hẹn); luôn hiển thị nổi bật ở chi tiết lịch hẹn cho nhân viên</t>
        </is>
      </c>
      <c r="E38" s="27" t="inlineStr">
        <is>
          <t>UI + Query</t>
        </is>
      </c>
      <c r="F38" s="27" t="inlineStr">
        <is>
          <t>UC-SPA-25, 27</t>
        </is>
      </c>
      <c r="G38" s="27" t="inlineStr">
        <is>
          <t>DA + ĐX</t>
        </is>
      </c>
    </row>
    <row r="39">
      <c r="A39" s="24" t="inlineStr">
        <is>
          <t>BR-CARE-03</t>
        </is>
      </c>
      <c r="B39" s="25" t="inlineStr">
        <is>
          <t>Hồ sơ da</t>
        </is>
      </c>
      <c r="C39" s="25" t="inlineStr">
        <is>
          <t>Điều kiện hoàn thành</t>
        </is>
      </c>
      <c r="D39" s="25" t="inlineStr">
        <is>
          <t>Chỉ nhân viên được phân công; lịch DaXacNhan; không trước GioBatDau của NgayHen; quyền/buổi chưa dùng (E1)</t>
        </is>
      </c>
      <c r="E39" s="25" t="inlineStr">
        <is>
          <t>Application</t>
        </is>
      </c>
      <c r="F39" s="25" t="inlineStr">
        <is>
          <t>UC-SPA-28</t>
        </is>
      </c>
      <c r="G39" s="25" t="inlineStr">
        <is>
          <t>DA</t>
        </is>
      </c>
    </row>
    <row r="40">
      <c r="A40" s="26" t="inlineStr">
        <is>
          <t>BR-REV-01</t>
        </is>
      </c>
      <c r="B40" s="27" t="inlineStr">
        <is>
          <t>Đánh giá</t>
        </is>
      </c>
      <c r="C40" s="27" t="inlineStr">
        <is>
          <t>Điều kiện đánh giá</t>
        </is>
      </c>
      <c r="D40" s="27" t="inlineStr">
        <is>
          <t>Dịch vụ: khách có DichVuKhachHang DaSuDung hoặc BuoiChamSoc HoanThanh của dịch vụ đó; gói: số buổi HoanThanh ≥ ngưỡng (cần chốt, đề xuất ≥ 1); mỗi DanhGia có đúng một trong IdDichVu/IdGoiDichVu</t>
        </is>
      </c>
      <c r="E40" s="27" t="inlineStr">
        <is>
          <t>Application + CHECK</t>
        </is>
      </c>
      <c r="F40" s="27" t="inlineStr">
        <is>
          <t>UC-SPA-30</t>
        </is>
      </c>
      <c r="G40" s="27" t="inlineStr">
        <is>
          <t>DA ('đủ số buổi theo quy định')</t>
        </is>
      </c>
    </row>
    <row r="41">
      <c r="A41" s="24" t="inlineStr">
        <is>
          <t>BR-REV-02</t>
        </is>
      </c>
      <c r="B41" s="25" t="inlineStr">
        <is>
          <t>Đánh giá</t>
        </is>
      </c>
      <c r="C41" s="25" t="inlineStr">
        <is>
          <t>Hiển thị</t>
        </is>
      </c>
      <c r="D41" s="25" t="inlineStr">
        <is>
          <t>SoSao 1–5; chỉ TrangThai HienThi được tính điểm và hiển thị; chủ spa ẩn chứ không xóa</t>
        </is>
      </c>
      <c r="E41" s="25" t="inlineStr">
        <is>
          <t>DB CHECK + Query</t>
        </is>
      </c>
      <c r="F41" s="25" t="inlineStr">
        <is>
          <t>UC-SPA-29, 31</t>
        </is>
      </c>
      <c r="G41" s="25" t="inlineStr">
        <is>
          <t>DA</t>
        </is>
      </c>
    </row>
    <row r="42">
      <c r="A42" s="26" t="inlineStr">
        <is>
          <t>BR-AI-01</t>
        </is>
      </c>
      <c r="B42" s="27" t="inlineStr">
        <is>
          <t>Trợ lý AI</t>
        </is>
      </c>
      <c r="C42" s="27" t="inlineStr">
        <is>
          <t>Không chẩn đoán y khoa</t>
        </is>
      </c>
      <c r="D42" s="27" t="inlineStr">
        <is>
          <t>Lời nhắc hệ thống + lưu ý cố định trên giao diện; câu hỏi về bệnh lý → khuyên gặp bác sĩ da liễu</t>
        </is>
      </c>
      <c r="E42" s="27" t="inlineStr">
        <is>
          <t>Infrastructure Ai + UI</t>
        </is>
      </c>
      <c r="F42" s="27" t="inlineStr">
        <is>
          <t>UC-SPA-32</t>
        </is>
      </c>
      <c r="G42" s="27" t="inlineStr">
        <is>
          <t>DA</t>
        </is>
      </c>
    </row>
    <row r="43">
      <c r="A43" s="24" t="inlineStr">
        <is>
          <t>BR-AI-02</t>
        </is>
      </c>
      <c r="B43" s="25" t="inlineStr">
        <is>
          <t>Trợ lý AI</t>
        </is>
      </c>
      <c r="C43" s="25" t="inlineStr">
        <is>
          <t>Chỉ dùng dữ liệu thật</t>
        </is>
      </c>
      <c r="D43" s="25" t="inlineStr">
        <is>
          <t>Hệ thống chuẩn bị thông tin dịch vụ liên quan (bước 4) và/hoặc tool; chỉ gợi ý sản phẩm DangBan; dữ liệu cá nhân (lịch hẹn, số buổi) chỉ của khách đang đăng nhập — IdKhachHang lấy từ JWT</t>
        </is>
      </c>
      <c r="E43" s="25" t="inlineStr">
        <is>
          <t>Application</t>
        </is>
      </c>
      <c r="F43" s="25" t="inlineStr">
        <is>
          <t>UC-SPA-32</t>
        </is>
      </c>
      <c r="G43" s="25" t="inlineStr">
        <is>
          <t>DA (bước 4) + ĐX</t>
        </is>
      </c>
    </row>
    <row r="44">
      <c r="A44" s="26" t="inlineStr">
        <is>
          <t>BR-AI-03</t>
        </is>
      </c>
      <c r="B44" s="27" t="inlineStr">
        <is>
          <t>Trợ lý AI</t>
        </is>
      </c>
      <c r="C44" s="27" t="inlineStr">
        <is>
          <t>Kiểm tra nội dung</t>
        </is>
      </c>
      <c r="D44" s="27" t="inlineStr">
        <is>
          <t>Câu hỏi rỗng, quá 1000 ký tự hoặc không phù hợp → E1; quá thời gian chờ AI → E2 cho gửi lại</t>
        </is>
      </c>
      <c r="E44" s="27" t="inlineStr">
        <is>
          <t>Validator + timeout</t>
        </is>
      </c>
      <c r="F44" s="27" t="inlineStr">
        <is>
          <t>UC-SPA-32</t>
        </is>
      </c>
      <c r="G44" s="27" t="inlineStr">
        <is>
          <t>DA (E1, E2) + ĐX</t>
        </is>
      </c>
    </row>
    <row r="45">
      <c r="A45" s="24" t="inlineStr">
        <is>
          <t>BR-AI-04</t>
        </is>
      </c>
      <c r="B45" s="25" t="inlineStr">
        <is>
          <t>Trợ lý AI</t>
        </is>
      </c>
      <c r="C45" s="25" t="inlineStr">
        <is>
          <t>Lưu lịch sử</t>
        </is>
      </c>
      <c r="D45" s="25" t="inlineStr">
        <is>
          <t>Lưu LichSuTroChuyenAI (CauHoi, CauTraLoi) cho khách hàng; khách vãng lai không lưu (IdKhachHang not null) — cần chốt; giới hạn tần suất</t>
        </is>
      </c>
      <c r="E45" s="25" t="inlineStr">
        <is>
          <t>Application + rate limiter</t>
        </is>
      </c>
      <c r="F45" s="25" t="inlineStr">
        <is>
          <t>UC-SPA-32</t>
        </is>
      </c>
      <c r="G45" s="25" t="inlineStr">
        <is>
          <t>DA + ĐX</t>
        </is>
      </c>
    </row>
    <row r="46">
      <c r="A46" s="26" t="inlineStr">
        <is>
          <t>BR-RPT-01</t>
        </is>
      </c>
      <c r="B46" s="27" t="inlineStr">
        <is>
          <t>Báo cáo</t>
        </is>
      </c>
      <c r="C46" s="27" t="inlineStr">
        <is>
          <t>Doanh thu</t>
        </is>
      </c>
      <c r="D46" s="27" t="inlineStr">
        <is>
          <t>Doanh thu = Σ ThanhToan.SoTien TrangThai ThanhCong theo ThoiGianThanhToan (giờ VN); nhóm theo tháng/quý/năm; tiêu chí dịch vụ lẻ/gói theo ChiTietDonHang.ThanhTien</t>
        </is>
      </c>
      <c r="E46" s="27" t="inlineStr">
        <is>
          <t>Query</t>
        </is>
      </c>
      <c r="F46" s="27" t="inlineStr">
        <is>
          <t>UC-SPA-33</t>
        </is>
      </c>
      <c r="G46" s="27" t="inlineStr">
        <is>
          <t>DA (MT-5) + ĐX (công thức)</t>
        </is>
      </c>
    </row>
    <row r="47">
      <c r="A47" s="24" t="inlineStr">
        <is>
          <t>BR-RPT-02</t>
        </is>
      </c>
      <c r="B47" s="25" t="inlineStr">
        <is>
          <t>Báo cáo</t>
        </is>
      </c>
      <c r="C47" s="25" t="inlineStr">
        <is>
          <t>Hoàn tiền</t>
        </is>
      </c>
      <c r="D47" s="25" t="inlineStr">
        <is>
          <t>ERD chưa có hoàn tiền → doanh thu không trừ hoàn; nếu cần hoàn tiền phải bổ sung bảng/trạng thái</t>
        </is>
      </c>
      <c r="E47" s="25" t="inlineStr">
        <is>
          <t>—</t>
        </is>
      </c>
      <c r="F47" s="25" t="inlineStr">
        <is>
          <t>UC-SPA-33</t>
        </is>
      </c>
      <c r="G47" s="25" t="inlineStr">
        <is>
          <t>ĐX</t>
        </is>
      </c>
    </row>
    <row r="48">
      <c r="A48" s="26" t="inlineStr">
        <is>
          <t>BR-NTF-01</t>
        </is>
      </c>
      <c r="B48" s="27" t="inlineStr">
        <is>
          <t>Thông báo</t>
        </is>
      </c>
      <c r="C48" s="27" t="inlineStr">
        <is>
          <t>Sự kiện tạo thông báo</t>
        </is>
      </c>
      <c r="D48" s="27" t="inlineStr">
        <is>
          <t>Đặt/đổi/hủy/xác nhận lịch, thanh toán thành công, nhắc lịch trước giờ hẹn (email hoặc thông báo), phân công lịch cho nhân viên; DocLuc null = chưa đọc</t>
        </is>
      </c>
      <c r="E48" s="27" t="inlineStr">
        <is>
          <t>Application + Job</t>
        </is>
      </c>
      <c r="F48" s="27" t="inlineStr">
        <is>
          <t>UC-SPA-34</t>
        </is>
      </c>
      <c r="G48" s="27" t="inlineStr">
        <is>
          <t>DA (Mở đầu: email/thông báo nhắc lịch)</t>
        </is>
      </c>
    </row>
    <row r="49">
      <c r="A49" s="24" t="inlineStr">
        <is>
          <t>BR-SEC-01</t>
        </is>
      </c>
      <c r="B49" s="25" t="inlineStr">
        <is>
          <t>Bảo mật</t>
        </is>
      </c>
      <c r="C49" s="25" t="inlineStr">
        <is>
          <t>Phạm vi dữ liệu</t>
        </is>
      </c>
      <c r="D49" s="25" t="inlineStr">
        <is>
          <t>Khách hàng chỉ dữ liệu của mình; nhân viên chỉ lịch được phân công/khách đã chăm sóc/liệu trình phụ trách; chủ spa toàn quyền. Kiểm tra ở API, không dựa vào FE</t>
        </is>
      </c>
      <c r="E49" s="25" t="inlineStr">
        <is>
          <t>API Authorization</t>
        </is>
      </c>
      <c r="F49" s="25" t="inlineStr">
        <is>
          <t>Tất cả</t>
        </is>
      </c>
      <c r="G49" s="25" t="inlineStr">
        <is>
          <t>DA (phân quyền theo vai trò)</t>
        </is>
      </c>
    </row>
  </sheetData>
  <autoFilter ref="A4:G49"/>
  <mergeCells count="3">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0"/>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34" customWidth="1" min="3" max="3"/>
    <col width="26" customWidth="1" min="4" max="4"/>
    <col width="24" customWidth="1" min="5" max="5"/>
    <col width="14" customWidth="1" min="6" max="6"/>
    <col width="56" customWidth="1" min="7" max="7"/>
    <col width="30" customWidth="1" min="8" max="8"/>
  </cols>
  <sheetData>
    <row r="1" ht="26" customHeight="1">
      <c r="A1" s="1" t="inlineStr">
        <is>
          <t>07 · WORKFLOW TRẠNG THÁI</t>
        </is>
      </c>
    </row>
    <row r="2">
      <c r="A2" s="2" t="inlineStr">
        <is>
          <t>Giá trị trạng thái theo 20_Enum (đề xuất vì DA chỉ ghi ENUM)</t>
        </is>
      </c>
    </row>
    <row r="3" ht="30" customHeight="1">
      <c r="A3" s="3" t="inlineStr">
        <is>
          <t>Mỗi bước kiểm tra trạng thái hiện tại; chuyển sai trạng thái trả 409/400.</t>
        </is>
      </c>
    </row>
    <row r="4" ht="32" customHeight="1">
      <c r="A4" s="4" t="inlineStr">
        <is>
          <t>Mã WF</t>
        </is>
      </c>
      <c r="B4" s="4" t="inlineStr">
        <is>
          <t>Đối tượng</t>
        </is>
      </c>
      <c r="C4" s="4" t="inlineStr">
        <is>
          <t>Bước</t>
        </is>
      </c>
      <c r="D4" s="4" t="inlineStr">
        <is>
          <t>Từ trạng thái</t>
        </is>
      </c>
      <c r="E4" s="4" t="inlineStr">
        <is>
          <t>Đến trạng thái</t>
        </is>
      </c>
      <c r="F4" s="4" t="inlineStr">
        <is>
          <t>Actor</t>
        </is>
      </c>
      <c r="G4" s="4" t="inlineStr">
        <is>
          <t>Điều kiện / BR</t>
        </is>
      </c>
      <c r="H4" s="4" t="inlineStr">
        <is>
          <t>API / Trigger</t>
        </is>
      </c>
    </row>
    <row r="5">
      <c r="A5" s="24" t="inlineStr">
        <is>
          <t>WF-01</t>
        </is>
      </c>
      <c r="B5" s="25" t="inlineStr">
        <is>
          <t>Lịch hẹn (LichHen)</t>
        </is>
      </c>
      <c r="C5" s="25" t="inlineStr">
        <is>
          <t>Đặt ngay — luồng 1</t>
        </is>
      </c>
      <c r="D5" s="25" t="inlineStr">
        <is>
          <t>—</t>
        </is>
      </c>
      <c r="E5" s="25" t="inlineStr">
        <is>
          <t>GiuCho</t>
        </is>
      </c>
      <c r="F5" s="25" t="inlineStr">
        <is>
          <t>CUS</t>
        </is>
      </c>
      <c r="G5" s="25" t="inlineStr">
        <is>
          <t>Giờ còn trống; tạo DonHang; GiuChoDen = now + 15'</t>
        </is>
      </c>
      <c r="H5" s="25" t="inlineStr">
        <is>
          <t>SPA-API-052</t>
        </is>
      </c>
    </row>
    <row r="6">
      <c r="A6" s="26" t="inlineStr">
        <is>
          <t>WF-01</t>
        </is>
      </c>
      <c r="B6" s="27" t="inlineStr">
        <is>
          <t>Lịch hẹn (LichHen)</t>
        </is>
      </c>
      <c r="C6" s="27" t="inlineStr">
        <is>
          <t>Thanh toán thành công trong hạn</t>
        </is>
      </c>
      <c r="D6" s="27" t="inlineStr">
        <is>
          <t>GiuCho</t>
        </is>
      </c>
      <c r="E6" s="27" t="inlineStr">
        <is>
          <t>DaXacNhan</t>
        </is>
      </c>
      <c r="F6" s="27" t="inlineStr">
        <is>
          <t>PGW → SYS</t>
        </is>
      </c>
      <c r="G6" s="27" t="inlineStr">
        <is>
          <t>Tạo DichVuKhachHang (DaDatLich) và gán IdDichVuKhachHang</t>
        </is>
      </c>
      <c r="H6" s="27" t="inlineStr">
        <is>
          <t>SPA-API-039</t>
        </is>
      </c>
    </row>
    <row r="7">
      <c r="A7" s="24" t="inlineStr">
        <is>
          <t>WF-01</t>
        </is>
      </c>
      <c r="B7" s="25" t="inlineStr">
        <is>
          <t>Lịch hẹn (LichHen)</t>
        </is>
      </c>
      <c r="C7" s="25" t="inlineStr">
        <is>
          <t>Hết hạn / thanh toán thất bại</t>
        </is>
      </c>
      <c r="D7" s="25" t="inlineStr">
        <is>
          <t>GiuCho</t>
        </is>
      </c>
      <c r="E7" s="25" t="inlineStr">
        <is>
          <t>HetHanGiuCho</t>
        </is>
      </c>
      <c r="F7" s="25" t="inlineStr">
        <is>
          <t>SYS</t>
        </is>
      </c>
      <c r="G7" s="25" t="inlineStr">
        <is>
          <t>Quá GiuChoDen; giải phóng chỗ (luồng 1 E2)</t>
        </is>
      </c>
      <c r="H7" s="25" t="inlineStr">
        <is>
          <t>Job</t>
        </is>
      </c>
    </row>
    <row r="8">
      <c r="A8" s="26" t="inlineStr">
        <is>
          <t>WF-01</t>
        </is>
      </c>
      <c r="B8" s="27" t="inlineStr">
        <is>
          <t>Lịch hẹn (LichHen)</t>
        </is>
      </c>
      <c r="C8" s="27" t="inlineStr">
        <is>
          <t>Đặt từ dịch vụ/gói đã mua — luồng 2</t>
        </is>
      </c>
      <c r="D8" s="27" t="inlineStr">
        <is>
          <t>—</t>
        </is>
      </c>
      <c r="E8" s="27" t="inlineStr">
        <is>
          <t>ChoXacNhan hoặc DaXacNhan</t>
        </is>
      </c>
      <c r="F8" s="27" t="inlineStr">
        <is>
          <t>CUS</t>
        </is>
      </c>
      <c r="G8" s="27" t="inlineStr">
        <is>
          <t>BR-BKG-05; cần chốt có bước chủ spa xác nhận không</t>
        </is>
      </c>
      <c r="H8" s="27" t="inlineStr">
        <is>
          <t>SPA-API-053</t>
        </is>
      </c>
    </row>
    <row r="9">
      <c r="A9" s="24" t="inlineStr">
        <is>
          <t>WF-01</t>
        </is>
      </c>
      <c r="B9" s="25" t="inlineStr">
        <is>
          <t>Lịch hẹn (LichHen)</t>
        </is>
      </c>
      <c r="C9" s="25" t="inlineStr">
        <is>
          <t>Chủ spa xác nhận</t>
        </is>
      </c>
      <c r="D9" s="25" t="inlineStr">
        <is>
          <t>ChoXacNhan</t>
        </is>
      </c>
      <c r="E9" s="25" t="inlineStr">
        <is>
          <t>DaXacNhan</t>
        </is>
      </c>
      <c r="F9" s="25" t="inlineStr">
        <is>
          <t>OWN</t>
        </is>
      </c>
      <c r="G9" s="25" t="inlineStr">
        <is>
          <t>Chỉ khi dùng ChoXacNhan</t>
        </is>
      </c>
      <c r="H9" s="25" t="inlineStr">
        <is>
          <t>SPA-API-060</t>
        </is>
      </c>
    </row>
    <row r="10">
      <c r="A10" s="26" t="inlineStr">
        <is>
          <t>WF-01</t>
        </is>
      </c>
      <c r="B10" s="27" t="inlineStr">
        <is>
          <t>Lịch hẹn (LichHen)</t>
        </is>
      </c>
      <c r="C10" s="27" t="inlineStr">
        <is>
          <t>Đổi thời gian / nhân viên</t>
        </is>
      </c>
      <c r="D10" s="27" t="inlineStr">
        <is>
          <t>ChoXacNhan, DaXacNhan</t>
        </is>
      </c>
      <c r="E10" s="27" t="inlineStr">
        <is>
          <t>(giữ nguyên)</t>
        </is>
      </c>
      <c r="F10" s="27" t="inlineStr">
        <is>
          <t>CUS; OWN</t>
        </is>
      </c>
      <c r="G10" s="27" t="inlineStr">
        <is>
          <t>Kiểm tra trùng lịch, ca, kỹ năng</t>
        </is>
      </c>
      <c r="H10" s="27" t="inlineStr">
        <is>
          <t>SPA-API-056; SPA-API-061; SPA-API-062</t>
        </is>
      </c>
    </row>
    <row r="11">
      <c r="A11" s="24" t="inlineStr">
        <is>
          <t>WF-01</t>
        </is>
      </c>
      <c r="B11" s="25" t="inlineStr">
        <is>
          <t>Lịch hẹn (LichHen)</t>
        </is>
      </c>
      <c r="C11" s="25" t="inlineStr">
        <is>
          <t>Hủy</t>
        </is>
      </c>
      <c r="D11" s="25" t="inlineStr">
        <is>
          <t>GiuCho, ChoXacNhan, DaXacNhan</t>
        </is>
      </c>
      <c r="E11" s="25" t="inlineStr">
        <is>
          <t>DaHuy</t>
        </is>
      </c>
      <c r="F11" s="25" t="inlineStr">
        <is>
          <t>CUS; OWN</t>
        </is>
      </c>
      <c r="G11" s="25" t="inlineStr">
        <is>
          <t>Lý do bắt buộc (HuyLuc, LyDoHuy); trả quyền/buổi</t>
        </is>
      </c>
      <c r="H11" s="25" t="inlineStr">
        <is>
          <t>SPA-API-057; SPA-API-063</t>
        </is>
      </c>
    </row>
    <row r="12">
      <c r="A12" s="26" t="inlineStr">
        <is>
          <t>WF-01</t>
        </is>
      </c>
      <c r="B12" s="27" t="inlineStr">
        <is>
          <t>Lịch hẹn (LichHen)</t>
        </is>
      </c>
      <c r="C12" s="27" t="inlineStr">
        <is>
          <t>Hoàn thành</t>
        </is>
      </c>
      <c r="D12" s="27" t="inlineStr">
        <is>
          <t>DaXacNhan</t>
        </is>
      </c>
      <c r="E12" s="27" t="inlineStr">
        <is>
          <t>HoanThanh</t>
        </is>
      </c>
      <c r="F12" s="27" t="inlineStr">
        <is>
          <t>STF</t>
        </is>
      </c>
      <c r="G12" s="27" t="inlineStr">
        <is>
          <t>BR-CARE-03</t>
        </is>
      </c>
      <c r="H12" s="27" t="inlineStr">
        <is>
          <t>SPA-API-097</t>
        </is>
      </c>
    </row>
    <row r="13">
      <c r="A13" s="24" t="inlineStr">
        <is>
          <t>WF-01</t>
        </is>
      </c>
      <c r="B13" s="25" t="inlineStr">
        <is>
          <t>Lịch hẹn (LichHen)</t>
        </is>
      </c>
      <c r="C13" s="25" t="inlineStr">
        <is>
          <t>Khách không đến</t>
        </is>
      </c>
      <c r="D13" s="25" t="inlineStr">
        <is>
          <t>DaXacNhan</t>
        </is>
      </c>
      <c r="E13" s="25" t="inlineStr">
        <is>
          <t>KhongDen</t>
        </is>
      </c>
      <c r="F13" s="25" t="inlineStr">
        <is>
          <t>OWN</t>
        </is>
      </c>
      <c r="G13" s="25" t="inlineStr">
        <is>
          <t>Sau giờ bắt đầu</t>
        </is>
      </c>
      <c r="H13" s="25" t="inlineStr">
        <is>
          <t>SPA-API-064</t>
        </is>
      </c>
    </row>
    <row r="14">
      <c r="A14" s="26" t="inlineStr">
        <is>
          <t>WF-02</t>
        </is>
      </c>
      <c r="B14" s="27" t="inlineStr">
        <is>
          <t>Đơn hàng (DonHang)</t>
        </is>
      </c>
      <c r="C14" s="27" t="inlineStr">
        <is>
          <t>Tạo đơn</t>
        </is>
      </c>
      <c r="D14" s="27" t="inlineStr">
        <is>
          <t>—</t>
        </is>
      </c>
      <c r="E14" s="27" t="inlineStr">
        <is>
          <t>ChoThanhToan</t>
        </is>
      </c>
      <c r="F14" s="27" t="inlineStr">
        <is>
          <t>CUS</t>
        </is>
      </c>
      <c r="G14" s="27" t="inlineStr">
        <is>
          <t>HetHanThanhToanLuc = now + 15'</t>
        </is>
      </c>
      <c r="H14" s="27" t="inlineStr">
        <is>
          <t>SPA-API-036; SPA-API-052</t>
        </is>
      </c>
    </row>
    <row r="15">
      <c r="A15" s="24" t="inlineStr">
        <is>
          <t>WF-02</t>
        </is>
      </c>
      <c r="B15" s="25" t="inlineStr">
        <is>
          <t>Đơn hàng (DonHang)</t>
        </is>
      </c>
      <c r="C15" s="25" t="inlineStr">
        <is>
          <t>Thanh toán thành công</t>
        </is>
      </c>
      <c r="D15" s="25" t="inlineStr">
        <is>
          <t>ChoThanhToan</t>
        </is>
      </c>
      <c r="E15" s="25" t="inlineStr">
        <is>
          <t>DaThanhToan</t>
        </is>
      </c>
      <c r="F15" s="25" t="inlineStr">
        <is>
          <t>PGW → SYS</t>
        </is>
      </c>
      <c r="G15" s="25" t="inlineStr">
        <is>
          <t>BR-ORD-05, 06</t>
        </is>
      </c>
      <c r="H15" s="25" t="inlineStr">
        <is>
          <t>SPA-API-039</t>
        </is>
      </c>
    </row>
    <row r="16">
      <c r="A16" s="26" t="inlineStr">
        <is>
          <t>WF-02</t>
        </is>
      </c>
      <c r="B16" s="27" t="inlineStr">
        <is>
          <t>Đơn hàng (DonHang)</t>
        </is>
      </c>
      <c r="C16" s="27" t="inlineStr">
        <is>
          <t>Hủy</t>
        </is>
      </c>
      <c r="D16" s="27" t="inlineStr">
        <is>
          <t>ChoThanhToan</t>
        </is>
      </c>
      <c r="E16" s="27" t="inlineStr">
        <is>
          <t>DaHuy</t>
        </is>
      </c>
      <c r="F16" s="27" t="inlineStr">
        <is>
          <t>CUS; OWN</t>
        </is>
      </c>
      <c r="G16" s="27" t="inlineStr">
        <is>
          <t>BR-ORD-04</t>
        </is>
      </c>
      <c r="H16" s="27" t="inlineStr">
        <is>
          <t>SPA-API-042; SPA-API-045</t>
        </is>
      </c>
    </row>
    <row r="17">
      <c r="A17" s="24" t="inlineStr">
        <is>
          <t>WF-02</t>
        </is>
      </c>
      <c r="B17" s="25" t="inlineStr">
        <is>
          <t>Đơn hàng (DonHang)</t>
        </is>
      </c>
      <c r="C17" s="25" t="inlineStr">
        <is>
          <t>Hết hạn</t>
        </is>
      </c>
      <c r="D17" s="25" t="inlineStr">
        <is>
          <t>ChoThanhToan</t>
        </is>
      </c>
      <c r="E17" s="25" t="inlineStr">
        <is>
          <t>HetHan</t>
        </is>
      </c>
      <c r="F17" s="25" t="inlineStr">
        <is>
          <t>SYS</t>
        </is>
      </c>
      <c r="G17" s="25" t="inlineStr">
        <is>
          <t>Quá HetHanThanhToanLuc</t>
        </is>
      </c>
      <c r="H17" s="25" t="inlineStr">
        <is>
          <t>Job</t>
        </is>
      </c>
    </row>
    <row r="18">
      <c r="A18" s="26" t="inlineStr">
        <is>
          <t>WF-03</t>
        </is>
      </c>
      <c r="B18" s="27" t="inlineStr">
        <is>
          <t>Thanh toán (ThanhToan)</t>
        </is>
      </c>
      <c r="C18" s="27" t="inlineStr">
        <is>
          <t>Tạo lần thanh toán</t>
        </is>
      </c>
      <c r="D18" s="27" t="inlineStr">
        <is>
          <t>—</t>
        </is>
      </c>
      <c r="E18" s="27" t="inlineStr">
        <is>
          <t>DangCho</t>
        </is>
      </c>
      <c r="F18" s="27" t="inlineStr">
        <is>
          <t>CUS</t>
        </is>
      </c>
      <c r="G18" s="27" t="inlineStr">
        <is>
          <t>Đơn ChoThanhToan còn hạn</t>
        </is>
      </c>
      <c r="H18" s="27" t="inlineStr">
        <is>
          <t>SPA-API-037</t>
        </is>
      </c>
    </row>
    <row r="19">
      <c r="A19" s="24" t="inlineStr">
        <is>
          <t>WF-03</t>
        </is>
      </c>
      <c r="B19" s="25" t="inlineStr">
        <is>
          <t>Thanh toán (ThanhToan)</t>
        </is>
      </c>
      <c r="C19" s="25" t="inlineStr">
        <is>
          <t>Kết quả từ cổng</t>
        </is>
      </c>
      <c r="D19" s="25" t="inlineStr">
        <is>
          <t>DangCho</t>
        </is>
      </c>
      <c r="E19" s="25" t="inlineStr">
        <is>
          <t>ThanhCong / ThatBai</t>
        </is>
      </c>
      <c r="F19" s="25" t="inlineStr">
        <is>
          <t>PGW</t>
        </is>
      </c>
      <c r="G19" s="25" t="inlineStr">
        <is>
          <t>Chữ ký hợp lệ, đúng số tiền</t>
        </is>
      </c>
      <c r="H19" s="25" t="inlineStr">
        <is>
          <t>SPA-API-039</t>
        </is>
      </c>
    </row>
    <row r="20">
      <c r="A20" s="26" t="inlineStr">
        <is>
          <t>WF-03</t>
        </is>
      </c>
      <c r="B20" s="27" t="inlineStr">
        <is>
          <t>Thanh toán (ThanhToan)</t>
        </is>
      </c>
      <c r="C20" s="27" t="inlineStr">
        <is>
          <t>Hết hạn lần thanh toán</t>
        </is>
      </c>
      <c r="D20" s="27" t="inlineStr">
        <is>
          <t>DangCho</t>
        </is>
      </c>
      <c r="E20" s="27" t="inlineStr">
        <is>
          <t>HetHan</t>
        </is>
      </c>
      <c r="F20" s="27" t="inlineStr">
        <is>
          <t>SYS</t>
        </is>
      </c>
      <c r="G20" s="27" t="inlineStr">
        <is>
          <t>Quá ThoiGianHetHan</t>
        </is>
      </c>
      <c r="H20" s="27" t="inlineStr">
        <is>
          <t>Job</t>
        </is>
      </c>
    </row>
    <row r="21">
      <c r="A21" s="24" t="inlineStr">
        <is>
          <t>WF-04</t>
        </is>
      </c>
      <c r="B21" s="25" t="inlineStr">
        <is>
          <t>Dịch vụ đã mua (DichVuKhachHang)</t>
        </is>
      </c>
      <c r="C21" s="25" t="inlineStr">
        <is>
          <t>Tạo khi thanh toán</t>
        </is>
      </c>
      <c r="D21" s="25" t="inlineStr">
        <is>
          <t>—</t>
        </is>
      </c>
      <c r="E21" s="25" t="inlineStr">
        <is>
          <t>ChuaSuDung / DaDatLich</t>
        </is>
      </c>
      <c r="F21" s="25" t="inlineStr">
        <is>
          <t>SYS</t>
        </is>
      </c>
      <c r="G21" s="25" t="inlineStr">
        <is>
          <t>DaDatLich nếu đến từ luồng 1</t>
        </is>
      </c>
      <c r="H21" s="25" t="inlineStr">
        <is>
          <t>SPA-API-039</t>
        </is>
      </c>
    </row>
    <row r="22">
      <c r="A22" s="26" t="inlineStr">
        <is>
          <t>WF-04</t>
        </is>
      </c>
      <c r="B22" s="27" t="inlineStr">
        <is>
          <t>Dịch vụ đã mua (DichVuKhachHang)</t>
        </is>
      </c>
      <c r="C22" s="27" t="inlineStr">
        <is>
          <t>Đặt lịch</t>
        </is>
      </c>
      <c r="D22" s="27" t="inlineStr">
        <is>
          <t>ChuaSuDung</t>
        </is>
      </c>
      <c r="E22" s="27" t="inlineStr">
        <is>
          <t>DaDatLich</t>
        </is>
      </c>
      <c r="F22" s="27" t="inlineStr">
        <is>
          <t>CUS</t>
        </is>
      </c>
      <c r="G22" s="27" t="inlineStr">
        <is>
          <t>Luồng 2</t>
        </is>
      </c>
      <c r="H22" s="27" t="inlineStr">
        <is>
          <t>SPA-API-053</t>
        </is>
      </c>
    </row>
    <row r="23">
      <c r="A23" s="24" t="inlineStr">
        <is>
          <t>WF-04</t>
        </is>
      </c>
      <c r="B23" s="25" t="inlineStr">
        <is>
          <t>Dịch vụ đã mua (DichVuKhachHang)</t>
        </is>
      </c>
      <c r="C23" s="25" t="inlineStr">
        <is>
          <t>Hủy lịch</t>
        </is>
      </c>
      <c r="D23" s="25" t="inlineStr">
        <is>
          <t>DaDatLich</t>
        </is>
      </c>
      <c r="E23" s="25" t="inlineStr">
        <is>
          <t>ChuaSuDung</t>
        </is>
      </c>
      <c r="F23" s="25" t="inlineStr">
        <is>
          <t>CUS; OWN</t>
        </is>
      </c>
      <c r="G23" s="25" t="inlineStr"/>
      <c r="H23" s="25" t="inlineStr">
        <is>
          <t>SPA-API-057; SPA-API-063</t>
        </is>
      </c>
    </row>
    <row r="24">
      <c r="A24" s="26" t="inlineStr">
        <is>
          <t>WF-04</t>
        </is>
      </c>
      <c r="B24" s="27" t="inlineStr">
        <is>
          <t>Dịch vụ đã mua (DichVuKhachHang)</t>
        </is>
      </c>
      <c r="C24" s="27" t="inlineStr">
        <is>
          <t>Hoàn thành</t>
        </is>
      </c>
      <c r="D24" s="27" t="inlineStr">
        <is>
          <t>DaDatLich</t>
        </is>
      </c>
      <c r="E24" s="27" t="inlineStr">
        <is>
          <t>DaSuDung</t>
        </is>
      </c>
      <c r="F24" s="27" t="inlineStr">
        <is>
          <t>STF</t>
        </is>
      </c>
      <c r="G24" s="27" t="inlineStr"/>
      <c r="H24" s="27" t="inlineStr">
        <is>
          <t>SPA-API-097</t>
        </is>
      </c>
    </row>
    <row r="25">
      <c r="A25" s="24" t="inlineStr">
        <is>
          <t>WF-04</t>
        </is>
      </c>
      <c r="B25" s="25" t="inlineStr">
        <is>
          <t>Dịch vụ đã mua (DichVuKhachHang)</t>
        </is>
      </c>
      <c r="C25" s="25" t="inlineStr">
        <is>
          <t>Hết hạn</t>
        </is>
      </c>
      <c r="D25" s="25" t="inlineStr">
        <is>
          <t>ChuaSuDung</t>
        </is>
      </c>
      <c r="E25" s="25" t="inlineStr">
        <is>
          <t>HetHan</t>
        </is>
      </c>
      <c r="F25" s="25" t="inlineStr">
        <is>
          <t>SYS</t>
        </is>
      </c>
      <c r="G25" s="25" t="inlineStr">
        <is>
          <t>Nếu có NgayHetHan</t>
        </is>
      </c>
      <c r="H25" s="25" t="inlineStr">
        <is>
          <t>Job</t>
        </is>
      </c>
    </row>
    <row r="26">
      <c r="A26" s="26" t="inlineStr">
        <is>
          <t>WF-05</t>
        </is>
      </c>
      <c r="B26" s="27" t="inlineStr">
        <is>
          <t>Gói đã mua (GoiKhachHang)</t>
        </is>
      </c>
      <c r="C26" s="27" t="inlineStr">
        <is>
          <t>Tạo + kích hoạt</t>
        </is>
      </c>
      <c r="D26" s="27" t="inlineStr">
        <is>
          <t>—</t>
        </is>
      </c>
      <c r="E26" s="27" t="inlineStr">
        <is>
          <t>DangSuDung</t>
        </is>
      </c>
      <c r="F26" s="27" t="inlineStr">
        <is>
          <t>SYS</t>
        </is>
      </c>
      <c r="G26" s="27" t="inlineStr">
        <is>
          <t>Thanh toán thành công; tạo LieuTrinh + BuoiChamSoc</t>
        </is>
      </c>
      <c r="H26" s="27" t="inlineStr">
        <is>
          <t>SPA-API-039</t>
        </is>
      </c>
    </row>
    <row r="27">
      <c r="A27" s="24" t="inlineStr">
        <is>
          <t>WF-05</t>
        </is>
      </c>
      <c r="B27" s="25" t="inlineStr">
        <is>
          <t>Gói đã mua (GoiKhachHang)</t>
        </is>
      </c>
      <c r="C27" s="25" t="inlineStr">
        <is>
          <t>Dùng đủ buổi</t>
        </is>
      </c>
      <c r="D27" s="25" t="inlineStr">
        <is>
          <t>DangSuDung</t>
        </is>
      </c>
      <c r="E27" s="25" t="inlineStr">
        <is>
          <t>HoanThanh</t>
        </is>
      </c>
      <c r="F27" s="25" t="inlineStr">
        <is>
          <t>SYS</t>
        </is>
      </c>
      <c r="G27" s="25" t="inlineStr">
        <is>
          <t>SoBuoiDaDung = TongSoBuoi</t>
        </is>
      </c>
      <c r="H27" s="25" t="inlineStr">
        <is>
          <t>SPA-API-097</t>
        </is>
      </c>
    </row>
    <row r="28">
      <c r="A28" s="26" t="inlineStr">
        <is>
          <t>WF-05</t>
        </is>
      </c>
      <c r="B28" s="27" t="inlineStr">
        <is>
          <t>Gói đã mua (GoiKhachHang)</t>
        </is>
      </c>
      <c r="C28" s="27" t="inlineStr">
        <is>
          <t>Hết hạn</t>
        </is>
      </c>
      <c r="D28" s="27" t="inlineStr">
        <is>
          <t>DangSuDung</t>
        </is>
      </c>
      <c r="E28" s="27" t="inlineStr">
        <is>
          <t>HetHan</t>
        </is>
      </c>
      <c r="F28" s="27" t="inlineStr">
        <is>
          <t>SYS</t>
        </is>
      </c>
      <c r="G28" s="27" t="inlineStr">
        <is>
          <t>now &gt; NgayHetHan</t>
        </is>
      </c>
      <c r="H28" s="27" t="inlineStr">
        <is>
          <t>Job</t>
        </is>
      </c>
    </row>
    <row r="29">
      <c r="A29" s="24" t="inlineStr">
        <is>
          <t>WF-06</t>
        </is>
      </c>
      <c r="B29" s="25" t="inlineStr">
        <is>
          <t>Liệu trình (LieuTrinh)</t>
        </is>
      </c>
      <c r="C29" s="25" t="inlineStr">
        <is>
          <t>Bắt đầu</t>
        </is>
      </c>
      <c r="D29" s="25" t="inlineStr">
        <is>
          <t>ChuaBatDau</t>
        </is>
      </c>
      <c r="E29" s="25" t="inlineStr">
        <is>
          <t>DangThucHien</t>
        </is>
      </c>
      <c r="F29" s="25" t="inlineStr">
        <is>
          <t>SYS</t>
        </is>
      </c>
      <c r="G29" s="25" t="inlineStr">
        <is>
          <t>Buổi đầu tiên hoàn thành (NgayBatDau)</t>
        </is>
      </c>
      <c r="H29" s="25" t="inlineStr">
        <is>
          <t>SPA-API-097</t>
        </is>
      </c>
    </row>
    <row r="30">
      <c r="A30" s="26" t="inlineStr">
        <is>
          <t>WF-06</t>
        </is>
      </c>
      <c r="B30" s="27" t="inlineStr">
        <is>
          <t>Liệu trình (LieuTrinh)</t>
        </is>
      </c>
      <c r="C30" s="27" t="inlineStr">
        <is>
          <t>Cập nhật / tạm dừng / hủy</t>
        </is>
      </c>
      <c r="D30" s="27" t="inlineStr">
        <is>
          <t>DangThucHien ↔ TamDung; → DaHuy</t>
        </is>
      </c>
      <c r="E30" s="27" t="inlineStr"/>
      <c r="F30" s="27" t="inlineStr">
        <is>
          <t>OWN</t>
        </is>
      </c>
      <c r="G30" s="27" t="inlineStr">
        <is>
          <t>Lý do bắt buộc</t>
        </is>
      </c>
      <c r="H30" s="27" t="inlineStr">
        <is>
          <t>SPA-API-075</t>
        </is>
      </c>
    </row>
    <row r="31">
      <c r="A31" s="24" t="inlineStr">
        <is>
          <t>WF-06</t>
        </is>
      </c>
      <c r="B31" s="25" t="inlineStr">
        <is>
          <t>Liệu trình (LieuTrinh)</t>
        </is>
      </c>
      <c r="C31" s="25" t="inlineStr">
        <is>
          <t>Hoàn thành</t>
        </is>
      </c>
      <c r="D31" s="25" t="inlineStr">
        <is>
          <t>DangThucHien</t>
        </is>
      </c>
      <c r="E31" s="25" t="inlineStr">
        <is>
          <t>HoanThanh</t>
        </is>
      </c>
      <c r="F31" s="25" t="inlineStr">
        <is>
          <t>SYS</t>
        </is>
      </c>
      <c r="G31" s="25" t="inlineStr">
        <is>
          <t>Gói HoanThanh; NgayKetThucThucTe</t>
        </is>
      </c>
      <c r="H31" s="25" t="inlineStr">
        <is>
          <t>SPA-API-097</t>
        </is>
      </c>
    </row>
    <row r="32">
      <c r="A32" s="26" t="inlineStr">
        <is>
          <t>WF-07</t>
        </is>
      </c>
      <c r="B32" s="27" t="inlineStr">
        <is>
          <t>Buổi chăm sóc (BuoiChamSoc)</t>
        </is>
      </c>
      <c r="C32" s="27" t="inlineStr">
        <is>
          <t>Đặt lịch</t>
        </is>
      </c>
      <c r="D32" s="27" t="inlineStr">
        <is>
          <t>ChuaDat</t>
        </is>
      </c>
      <c r="E32" s="27" t="inlineStr">
        <is>
          <t>DaDatLich</t>
        </is>
      </c>
      <c r="F32" s="27" t="inlineStr">
        <is>
          <t>CUS</t>
        </is>
      </c>
      <c r="G32" s="27" t="inlineStr">
        <is>
          <t>BR-BKG-05</t>
        </is>
      </c>
      <c r="H32" s="27" t="inlineStr">
        <is>
          <t>SPA-API-053</t>
        </is>
      </c>
    </row>
    <row r="33">
      <c r="A33" s="24" t="inlineStr">
        <is>
          <t>WF-07</t>
        </is>
      </c>
      <c r="B33" s="25" t="inlineStr">
        <is>
          <t>Buổi chăm sóc (BuoiChamSoc)</t>
        </is>
      </c>
      <c r="C33" s="25" t="inlineStr">
        <is>
          <t>Hủy lịch</t>
        </is>
      </c>
      <c r="D33" s="25" t="inlineStr">
        <is>
          <t>DaDatLich</t>
        </is>
      </c>
      <c r="E33" s="25" t="inlineStr">
        <is>
          <t>ChuaDat</t>
        </is>
      </c>
      <c r="F33" s="25" t="inlineStr">
        <is>
          <t>CUS; OWN</t>
        </is>
      </c>
      <c r="G33" s="25" t="inlineStr"/>
      <c r="H33" s="25" t="inlineStr">
        <is>
          <t>SPA-API-057; SPA-API-063</t>
        </is>
      </c>
    </row>
    <row r="34">
      <c r="A34" s="26" t="inlineStr">
        <is>
          <t>WF-07</t>
        </is>
      </c>
      <c r="B34" s="27" t="inlineStr">
        <is>
          <t>Buổi chăm sóc (BuoiChamSoc)</t>
        </is>
      </c>
      <c r="C34" s="27" t="inlineStr">
        <is>
          <t>Hoàn thành</t>
        </is>
      </c>
      <c r="D34" s="27" t="inlineStr">
        <is>
          <t>DaDatLich</t>
        </is>
      </c>
      <c r="E34" s="27" t="inlineStr">
        <is>
          <t>HoanThanh</t>
        </is>
      </c>
      <c r="F34" s="27" t="inlineStr">
        <is>
          <t>STF</t>
        </is>
      </c>
      <c r="G34" s="27" t="inlineStr">
        <is>
          <t>GhiChu = kết quả; NgayHoanThanh</t>
        </is>
      </c>
      <c r="H34" s="27" t="inlineStr">
        <is>
          <t>SPA-API-097</t>
        </is>
      </c>
    </row>
    <row r="35">
      <c r="A35" s="24" t="inlineStr">
        <is>
          <t>WF-08</t>
        </is>
      </c>
      <c r="B35" s="25" t="inlineStr">
        <is>
          <t>Khuyến mãi (KhuyenMai)</t>
        </is>
      </c>
      <c r="C35" s="25" t="inlineStr">
        <is>
          <t>Thêm / ngừng / mở lại</t>
        </is>
      </c>
      <c r="D35" s="25" t="inlineStr">
        <is>
          <t>HoatDong ↔ NgungApDung</t>
        </is>
      </c>
      <c r="E35" s="25" t="inlineStr"/>
      <c r="F35" s="25" t="inlineStr">
        <is>
          <t>OWN</t>
        </is>
      </c>
      <c r="G35" s="25" t="inlineStr"/>
      <c r="H35" s="25" t="inlineStr">
        <is>
          <t>SPA-API-048; SPA-API-050</t>
        </is>
      </c>
    </row>
    <row r="36">
      <c r="A36" s="26" t="inlineStr">
        <is>
          <t>WF-09</t>
        </is>
      </c>
      <c r="B36" s="27" t="inlineStr">
        <is>
          <t>Dịch vụ / Gói</t>
        </is>
      </c>
      <c r="C36" s="27" t="inlineStr">
        <is>
          <t>Ngừng bán / mở bán</t>
        </is>
      </c>
      <c r="D36" s="27" t="inlineStr">
        <is>
          <t>DangBan ↔ NgungBan</t>
        </is>
      </c>
      <c r="E36" s="27" t="inlineStr"/>
      <c r="F36" s="27" t="inlineStr">
        <is>
          <t>OWN</t>
        </is>
      </c>
      <c r="G36" s="27" t="inlineStr">
        <is>
          <t>BR-CAT-03</t>
        </is>
      </c>
      <c r="H36" s="27" t="inlineStr">
        <is>
          <t>SPA-API-026; SPA-API-030</t>
        </is>
      </c>
    </row>
    <row r="37">
      <c r="A37" s="24" t="inlineStr">
        <is>
          <t>WF-10</t>
        </is>
      </c>
      <c r="B37" s="25" t="inlineStr">
        <is>
          <t>Tài khoản (NguoiDung)</t>
        </is>
      </c>
      <c r="C37" s="25" t="inlineStr">
        <is>
          <t>Khóa / mở khóa</t>
        </is>
      </c>
      <c r="D37" s="25" t="inlineStr">
        <is>
          <t>HoatDong ↔ BiKhoa</t>
        </is>
      </c>
      <c r="E37" s="25" t="inlineStr"/>
      <c r="F37" s="25" t="inlineStr">
        <is>
          <t>OWN</t>
        </is>
      </c>
      <c r="G37" s="25" t="inlineStr">
        <is>
          <t>BR-AUTH-05</t>
        </is>
      </c>
      <c r="H37" s="25" t="inlineStr">
        <is>
          <t>SPA-API-016</t>
        </is>
      </c>
    </row>
    <row r="38">
      <c r="A38" s="26" t="inlineStr">
        <is>
          <t>WF-10</t>
        </is>
      </c>
      <c r="B38" s="27" t="inlineStr">
        <is>
          <t>Tài khoản (NguoiDung)</t>
        </is>
      </c>
      <c r="C38" s="27" t="inlineStr">
        <is>
          <t>Nhân viên nghỉ việc</t>
        </is>
      </c>
      <c r="D38" s="27" t="inlineStr">
        <is>
          <t>HoatDong</t>
        </is>
      </c>
      <c r="E38" s="27" t="inlineStr">
        <is>
          <t>NgungHoatDong</t>
        </is>
      </c>
      <c r="F38" s="27" t="inlineStr">
        <is>
          <t>OWN</t>
        </is>
      </c>
      <c r="G38" s="27" t="inlineStr">
        <is>
          <t>Đến NgayNghiViec</t>
        </is>
      </c>
      <c r="H38" s="27" t="inlineStr">
        <is>
          <t>SPA-API-082</t>
        </is>
      </c>
    </row>
    <row r="39">
      <c r="A39" s="24" t="inlineStr">
        <is>
          <t>WF-11</t>
        </is>
      </c>
      <c r="B39" s="25" t="inlineStr">
        <is>
          <t>Đánh giá (DanhGia)</t>
        </is>
      </c>
      <c r="C39" s="25" t="inlineStr">
        <is>
          <t>Gửi / ẩn / hiện</t>
        </is>
      </c>
      <c r="D39" s="25" t="inlineStr">
        <is>
          <t>— → HienThi ↔ An</t>
        </is>
      </c>
      <c r="E39" s="25" t="inlineStr"/>
      <c r="F39" s="25" t="inlineStr">
        <is>
          <t>CUS; OWN</t>
        </is>
      </c>
      <c r="G39" s="25" t="inlineStr">
        <is>
          <t>BR-REV-01, 02</t>
        </is>
      </c>
      <c r="H39" s="25" t="inlineStr">
        <is>
          <t>SPA-API-101; SPA-API-104</t>
        </is>
      </c>
    </row>
    <row r="40">
      <c r="A40" s="26" t="inlineStr">
        <is>
          <t>WF-12</t>
        </is>
      </c>
      <c r="B40" s="27" t="inlineStr">
        <is>
          <t>Ca làm (LichLamViec)</t>
        </is>
      </c>
      <c r="C40" s="27" t="inlineStr">
        <is>
          <t>Thêm / hủy</t>
        </is>
      </c>
      <c r="D40" s="27" t="inlineStr">
        <is>
          <t>— → HoatDong → DaHuy</t>
        </is>
      </c>
      <c r="E40" s="27" t="inlineStr"/>
      <c r="F40" s="27" t="inlineStr">
        <is>
          <t>OWN</t>
        </is>
      </c>
      <c r="G40" s="27" t="inlineStr">
        <is>
          <t>BR-STF-03</t>
        </is>
      </c>
      <c r="H40" s="27" t="inlineStr">
        <is>
          <t>SPA-API-085; SPA-API-087</t>
        </is>
      </c>
    </row>
  </sheetData>
  <autoFilter ref="A4:H40"/>
  <mergeCells count="3">
    <mergeCell ref="A3:H3"/>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zoomScale="90" workbookViewId="0">
      <pane ySplit="4" topLeftCell="A5" activePane="bottomLeft" state="frozen"/>
      <selection pane="bottomLeft" activeCell="A1" sqref="A1"/>
    </sheetView>
  </sheetViews>
  <sheetFormatPr baseColWidth="8" defaultRowHeight="15"/>
  <cols>
    <col width="9" customWidth="1" min="1" max="1"/>
    <col width="34" customWidth="1" min="2" max="2"/>
    <col width="100" customWidth="1" min="3" max="3"/>
    <col width="50" customWidth="1" min="4" max="4"/>
    <col width="46" customWidth="1" min="5" max="5"/>
    <col width="30" customWidth="1" min="6" max="6"/>
  </cols>
  <sheetData>
    <row r="1" ht="26" customHeight="1">
      <c r="A1" s="1" t="inlineStr">
        <is>
          <t>08 · LUỒNG NGHIỆP VỤ XUYÊN SUỐT</t>
        </is>
      </c>
    </row>
    <row r="2">
      <c r="A2" s="2" t="inlineStr">
        <is>
          <t>6 luồng</t>
        </is>
      </c>
    </row>
    <row r="3" ht="30" customHeight="1">
      <c r="A3" s="3" t="inlineStr">
        <is>
          <t>Dựa trên mục 'Hoạt động nghiệp vụ' của DA.</t>
        </is>
      </c>
    </row>
    <row r="4" ht="32" customHeight="1">
      <c r="A4" s="4" t="inlineStr">
        <is>
          <t>Mã flow</t>
        </is>
      </c>
      <c r="B4" s="4" t="inlineStr">
        <is>
          <t>Tên quy trình</t>
        </is>
      </c>
      <c r="C4" s="4" t="inlineStr">
        <is>
          <t>Các bước nghiệp vụ</t>
        </is>
      </c>
      <c r="D4" s="4" t="inlineStr">
        <is>
          <t>Đường đi màn hình</t>
        </is>
      </c>
      <c r="E4" s="4" t="inlineStr">
        <is>
          <t>API chính</t>
        </is>
      </c>
      <c r="F4" s="4" t="inlineStr">
        <is>
          <t>Rule</t>
        </is>
      </c>
    </row>
    <row r="5">
      <c r="A5" s="24" t="inlineStr">
        <is>
          <t>FL-01</t>
        </is>
      </c>
      <c r="B5" s="25" t="inlineStr">
        <is>
          <t>Đặt ngay dịch vụ lẻ và thanh toán (luồng 1)</t>
        </is>
      </c>
      <c r="C5" s="25" t="inlineStr">
        <is>
          <t>Tìm kiếm → chi tiết dịch vụ → Đặt ngay → chọn ngày, nhân viên, giờ → hệ thống kiểm tra trống → tạo đơn + giữ chỗ 15' → (mã KM) → thanh toán qua cổng → webhook hợp lệ → đơn DaThanhToan, tạo DichVuKhachHang, lịch DaXacNhan → thông báo</t>
        </is>
      </c>
      <c r="D5" s="25" t="inlineStr">
        <is>
          <t>SCR-W02 → SCR-W03 → SCR-W13 → SCR-W11 → SCR-W12 → SCR-W15</t>
        </is>
      </c>
      <c r="E5" s="25" t="inlineStr">
        <is>
          <t>SPA-API-017, 018, 051, 052, 035, 037, 039, 041</t>
        </is>
      </c>
      <c r="F5" s="25" t="inlineStr">
        <is>
          <t>BR-BKG-01..06; BR-ORD-02..06; BR-PRM-01..03</t>
        </is>
      </c>
    </row>
    <row r="6">
      <c r="A6" s="26" t="inlineStr">
        <is>
          <t>FL-02</t>
        </is>
      </c>
      <c r="B6" s="27" t="inlineStr">
        <is>
          <t>Mua gói qua giỏ hàng và đặt buổi (luồng 2)</t>
        </is>
      </c>
      <c r="C6" s="27" t="inlineStr">
        <is>
          <t>Chi tiết gói → Thêm vào giỏ → Giỏ hàng → Thanh toán (KM) → webhook → GoiKhachHang + LieuTrinh + BuoiChamSoc → Dịch vụ và gói của tôi → chọn buổi đủ điều kiện → đặt lịch</t>
        </is>
      </c>
      <c r="D6" s="27" t="inlineStr">
        <is>
          <t>SCR-W05 → SCR-W10 → SCR-W11 → SCR-W12 → SCR-W16 → SCR-W17 → SCR-W13</t>
        </is>
      </c>
      <c r="E6" s="27" t="inlineStr">
        <is>
          <t>SPA-API-020, 032, 031, 034, 036, 037, 039, 065, 069, 051, 053</t>
        </is>
      </c>
      <c r="F6" s="27" t="inlineStr">
        <is>
          <t>BR-ORD-06; BR-BKG-05; BR-TRT-01</t>
        </is>
      </c>
    </row>
    <row r="7">
      <c r="A7" s="24" t="inlineStr">
        <is>
          <t>FL-03</t>
        </is>
      </c>
      <c r="B7" s="25" t="inlineStr">
        <is>
          <t>Thực hiện buổi chăm sóc</t>
        </is>
      </c>
      <c r="C7" s="25" t="inlineStr">
        <is>
          <t>Nhân viên xem lịch được phân công → mở chi tiết (dị ứng, liệu trình) → lập/cập nhật hồ sơ da → thực hiện dịch vụ → xác nhận hoàn thành (cập nhật quyền/tiến độ gói) → khách nhận thông báo → khách đánh giá</t>
        </is>
      </c>
      <c r="D7" s="25" t="inlineStr">
        <is>
          <t>SCR-W26 → SCR-W27 (Android SCR-M25 → SCR-M26) → SCR-W20</t>
        </is>
      </c>
      <c r="E7" s="25" t="inlineStr">
        <is>
          <t>SPA-API-090, 059, 095, 093, 097, 110, 100, 101</t>
        </is>
      </c>
      <c r="F7" s="25" t="inlineStr">
        <is>
          <t>BR-CARE-01..03; BR-TRT-03; BR-REV-01</t>
        </is>
      </c>
    </row>
    <row r="8">
      <c r="A8" s="26" t="inlineStr">
        <is>
          <t>FL-04</t>
        </is>
      </c>
      <c r="B8" s="27" t="inlineStr">
        <is>
          <t>Tư vấn AI dẫn tới mua/đặt</t>
        </is>
      </c>
      <c r="C8" s="27" t="inlineStr">
        <is>
          <t>Mở trợ lý → hỏi theo nhu cầu da → hệ thống chuẩn bị thông tin dịch vụ liên quan → AI trả lời kèm gợi ý → mở sản phẩm gợi ý (A2) → thêm giỏ / đặt ngay</t>
        </is>
      </c>
      <c r="D8" s="27" t="inlineStr">
        <is>
          <t>SCR-W21 → SCR-W03 / SCR-W05 → SCR-W13</t>
        </is>
      </c>
      <c r="E8" s="27" t="inlineStr">
        <is>
          <t>SPA-API-106, 105, 018, 020, 052</t>
        </is>
      </c>
      <c r="F8" s="27" t="inlineStr">
        <is>
          <t>BR-AI-01..04</t>
        </is>
      </c>
    </row>
    <row r="9">
      <c r="A9" s="24" t="inlineStr">
        <is>
          <t>FL-05</t>
        </is>
      </c>
      <c r="B9" s="25" t="inlineStr">
        <is>
          <t>Chủ spa điều phối lịch và xử lý thay đổi nhân sự</t>
        </is>
      </c>
      <c r="C9" s="25" t="inlineStr">
        <is>
          <t>Phân công ca tuần → khách đặt lịch theo ca → nhân viên nghỉ việc → hệ thống trả danh sách lịch bị ảnh hưởng → chủ spa đổi nhân viên/giờ cho từng lịch → thông báo khách</t>
        </is>
      </c>
      <c r="D9" s="25" t="inlineStr">
        <is>
          <t>SCR-W33 → SCR-W34</t>
        </is>
      </c>
      <c r="E9" s="25" t="inlineStr">
        <is>
          <t>SPA-API-085, 082, 058, 062, 061</t>
        </is>
      </c>
      <c r="F9" s="25" t="inlineStr">
        <is>
          <t>BR-STF-01, 03; BR-BKG-01..03</t>
        </is>
      </c>
    </row>
    <row r="10">
      <c r="A10" s="26" t="inlineStr">
        <is>
          <t>FL-06</t>
        </is>
      </c>
      <c r="B10" s="27" t="inlineStr">
        <is>
          <t>Báo cáo doanh thu</t>
        </is>
      </c>
      <c r="C10" s="27" t="inlineStr">
        <is>
          <t>Chủ spa mở báo cáo → chọn khoảng thời gian, nhóm theo tháng/quý/năm, tiêu chí → xem số liệu và biểu đồ → xuất Excel (ĐX)</t>
        </is>
      </c>
      <c r="D10" s="27" t="inlineStr">
        <is>
          <t>SCR-W30 → SCR-W38</t>
        </is>
      </c>
      <c r="E10" s="27" t="inlineStr">
        <is>
          <t>SPA-API-107, 108, 109</t>
        </is>
      </c>
      <c r="F10" s="27" t="inlineStr">
        <is>
          <t>BR-RPT-01</t>
        </is>
      </c>
    </row>
  </sheetData>
  <autoFilter ref="A4:F10"/>
  <mergeCells count="3">
    <mergeCell ref="A3:F3"/>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zoomScale="90" workbookViewId="0">
      <pane ySplit="4" topLeftCell="A5" activePane="bottomLeft" state="frozen"/>
      <selection pane="bottomLeft" activeCell="A1" sqref="A1"/>
    </sheetView>
  </sheetViews>
  <sheetFormatPr baseColWidth="8" defaultRowHeight="15"/>
  <cols>
    <col width="8" customWidth="1" min="1" max="1"/>
    <col width="24" customWidth="1" min="2" max="2"/>
    <col width="110" customWidth="1" min="3" max="3"/>
    <col width="40" customWidth="1" min="4" max="4"/>
  </cols>
  <sheetData>
    <row r="1" ht="26" customHeight="1">
      <c r="A1" s="1" t="inlineStr">
        <is>
          <t>09 · THUẬT TOÁN GIỜ TRỐNG &amp; CHỐNG TRÙNG LỊCH</t>
        </is>
      </c>
    </row>
    <row r="2">
      <c r="A2" s="2" t="inlineStr">
        <is>
          <t>Mục tiêu MT-3 · UC-SPA-15, 16, 17, 23 · bảng LichLamViec, LichHen, NhanVien_DichVu</t>
        </is>
      </c>
    </row>
    <row r="3" ht="30" customHeight="1">
      <c r="A3" s="3" t="inlineStr">
        <is>
          <t>Khoảng thời gian nửa mở [bắt đầu, kết thúc). NgayHen + Gio hiểu theo giờ Việt Nam.</t>
        </is>
      </c>
    </row>
    <row r="4" ht="32" customHeight="1">
      <c r="A4" s="4" t="inlineStr">
        <is>
          <t>Bước</t>
        </is>
      </c>
      <c r="B4" s="4" t="inlineStr">
        <is>
          <t>Tên bước</t>
        </is>
      </c>
      <c r="C4" s="4" t="inlineStr">
        <is>
          <t>Xử lý</t>
        </is>
      </c>
      <c r="D4" s="4" t="inlineStr">
        <is>
          <t>Dữ liệu</t>
        </is>
      </c>
    </row>
    <row r="5">
      <c r="A5" s="24" t="inlineStr">
        <is>
          <t>A1</t>
        </is>
      </c>
      <c r="B5" s="25" t="inlineStr">
        <is>
          <t>Đầu vào</t>
        </is>
      </c>
      <c r="C5" s="25" t="inlineStr">
        <is>
          <t>idDichVu (hoặc idBuoiChamSoc → lấy IdDichVu, ThoiLuongPhut của buổi), ngay, idNhanVien? ; IdKhachHang từ JWT</t>
        </is>
      </c>
      <c r="D5" s="25" t="inlineStr">
        <is>
          <t>GET /availability</t>
        </is>
      </c>
    </row>
    <row r="6">
      <c r="A6" s="26" t="inlineStr">
        <is>
          <t>A2</t>
        </is>
      </c>
      <c r="B6" s="27" t="inlineStr">
        <is>
          <t>Thời lượng</t>
        </is>
      </c>
      <c r="C6" s="27" t="inlineStr">
        <is>
          <t>duration = DichVu.ThoiLuongPhut (buổi gói: BuoiChamSoc.ThoiLuongPhut); bước khung giờ step = 15 phút (ĐX, cấu hình)</t>
        </is>
      </c>
      <c r="D6" s="27" t="inlineStr">
        <is>
          <t>DichVu, BuoiChamSoc</t>
        </is>
      </c>
    </row>
    <row r="7">
      <c r="A7" s="24" t="inlineStr">
        <is>
          <t>A3</t>
        </is>
      </c>
      <c r="B7" s="25" t="inlineStr">
        <is>
          <t>Ứng viên nhân viên</t>
        </is>
      </c>
      <c r="C7" s="25" t="inlineStr">
        <is>
          <t>Nhân viên có NhanVien_DichVu(idDichVu), NguoiDung HoatDong, NgayNghiViec null hoặc &gt; ngay; nếu có idNhanVien thì chỉ người đó</t>
        </is>
      </c>
      <c r="D7" s="25" t="inlineStr">
        <is>
          <t>NhanVien, NhanVien_DichVu, NguoiDung</t>
        </is>
      </c>
    </row>
    <row r="8">
      <c r="A8" s="26" t="inlineStr">
        <is>
          <t>A4</t>
        </is>
      </c>
      <c r="B8" s="27" t="inlineStr">
        <is>
          <t>Khoảng làm việc</t>
        </is>
      </c>
      <c r="C8" s="27" t="inlineStr">
        <is>
          <t>Các LichLamViec của nhân viên trong ngày, TrangThai HoatDong → các đoạn [GioBatDau, GioKetThuc)</t>
        </is>
      </c>
      <c r="D8" s="27" t="inlineStr">
        <is>
          <t>LichLamViec</t>
        </is>
      </c>
    </row>
    <row r="9">
      <c r="A9" s="24" t="inlineStr">
        <is>
          <t>A5</t>
        </is>
      </c>
      <c r="B9" s="25" t="inlineStr">
        <is>
          <t>Trừ lịch đã chiếm</t>
        </is>
      </c>
      <c r="C9" s="25" t="inlineStr">
        <is>
          <t>Trừ các LichHen của nhân viên cùng NgayHen ở trạng thái ChoXacNhan, DaXacNhan, GiuCho có GiuChoDen &gt; now</t>
        </is>
      </c>
      <c r="D9" s="25" t="inlineStr">
        <is>
          <t>LichHen</t>
        </is>
      </c>
    </row>
    <row r="10">
      <c r="A10" s="26" t="inlineStr">
        <is>
          <t>A6</t>
        </is>
      </c>
      <c r="B10" s="27" t="inlineStr">
        <is>
          <t>Sinh khung giờ</t>
        </is>
      </c>
      <c r="C10" s="27" t="inlineStr">
        <is>
          <t>Trong mỗi đoạn rảnh, t chạy từ đầu đoạn (làm tròn lên bội số step); giữ t nếu [t, t+duration) nằm trọn trong đoạn rảnh</t>
        </is>
      </c>
      <c r="D10" s="27" t="inlineStr">
        <is>
          <t>—</t>
        </is>
      </c>
    </row>
    <row r="11">
      <c r="A11" s="24" t="inlineStr">
        <is>
          <t>A7</t>
        </is>
      </c>
      <c r="B11" s="25" t="inlineStr">
        <is>
          <t>Lọc theo khách</t>
        </is>
      </c>
      <c r="C11" s="25" t="inlineStr">
        <is>
          <t>Bỏ t nếu khách đã có lịch chiếm chỗ giao với [t, t+duration); bỏ t đã qua (ngày hôm nay); với buổi gói: bỏ ngày chưa đủ KhoangCachNgayToiThieu</t>
        </is>
      </c>
      <c r="D11" s="25" t="inlineStr">
        <is>
          <t>LichHen, GoiDichVuChiTiet</t>
        </is>
      </c>
    </row>
    <row r="12">
      <c r="A12" s="26" t="inlineStr">
        <is>
          <t>A8</t>
        </is>
      </c>
      <c r="B12" s="27" t="inlineStr">
        <is>
          <t>Kết quả</t>
        </is>
      </c>
      <c r="C12" s="27" t="inlineStr">
        <is>
          <t>Danh sách nhân viên kèm khung giờ trống (khớp 'Hệ thống hiển thị nhân viên và giờ trống' của DA)</t>
        </is>
      </c>
      <c r="D12" s="27" t="inlineStr">
        <is>
          <t>—</t>
        </is>
      </c>
    </row>
    <row r="13">
      <c r="A13" s="24" t="inlineStr">
        <is>
          <t>A9</t>
        </is>
      </c>
      <c r="B13" s="25" t="inlineStr">
        <is>
          <t>Khi đặt (POST)</t>
        </is>
      </c>
      <c r="C13" s="25" t="inlineStr">
        <is>
          <t>BEGIN; kiểm tra lại A3–A7 cho khung đã chọn; INSERT LichHen; COMMIT. Nếu hai yêu cầu đồng thời: ràng buộc EXCLUDE (BR-BKG-01) làm yêu cầu sau thất bại → 409 SLOT_UNAVAILABLE → FE yêu cầu chọn lại (E1/E2)</t>
        </is>
      </c>
      <c r="D13" s="25" t="inlineStr">
        <is>
          <t>LichHen</t>
        </is>
      </c>
    </row>
    <row r="14">
      <c r="A14" s="26" t="inlineStr">
        <is>
          <t>A10</t>
        </is>
      </c>
      <c r="B14" s="27" t="inlineStr">
        <is>
          <t>Giữ chỗ hết hạn</t>
        </is>
      </c>
      <c r="C14" s="27" t="inlineStr">
        <is>
          <t>Job mỗi phút chuyển GiuCho quá GiuChoDen → HetHanGiuCho để ràng buộc EXCLUDE không còn chặn khung giờ (ràng buộc không dùng được now())</t>
        </is>
      </c>
      <c r="D14" s="27" t="inlineStr">
        <is>
          <t>Job nền</t>
        </is>
      </c>
    </row>
    <row r="15">
      <c r="A15" s="24" t="inlineStr">
        <is>
          <t>A11</t>
        </is>
      </c>
      <c r="B15" s="25" t="inlineStr">
        <is>
          <t>Độ phức tạp</t>
        </is>
      </c>
      <c r="C15" s="25" t="inlineStr">
        <is>
          <t>O(S × (W + A)) với S nhân viên ứng viên, W ca/ngày, A lịch hẹn/ngày của nhân viên — phù hợp quy mô spa</t>
        </is>
      </c>
      <c r="D15" s="25" t="inlineStr">
        <is>
          <t>—</t>
        </is>
      </c>
    </row>
    <row r="16">
      <c r="A16" s="26" t="inlineStr">
        <is>
          <t>A12</t>
        </is>
      </c>
      <c r="B16" s="27" t="inlineStr">
        <is>
          <t>Kiểm thử bắt buộc</t>
        </is>
      </c>
      <c r="C16" s="27" t="inlineStr">
        <is>
          <t>Khung sát giờ kết thúc ca; 2 ca tách rời trong ngày; giữ chỗ còn hạn/hết hạn; đặt đồng thời cùng khung (chỉ 1 thành công); đổi giờ sang khung giao với chính lịch cũ</t>
        </is>
      </c>
      <c r="D16" s="27" t="inlineStr">
        <is>
          <t>IntegrationTests</t>
        </is>
      </c>
    </row>
  </sheetData>
  <autoFilter ref="A4:D16"/>
  <mergeCells count="3">
    <mergeCell ref="A1:D1"/>
    <mergeCell ref="A3:D3"/>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1"/>
  <sheetViews>
    <sheetView zoomScale="90" workbookViewId="0">
      <pane ySplit="4" topLeftCell="A5" activePane="bottomLeft" state="frozen"/>
      <selection pane="bottomLeft" activeCell="A1" sqref="A1"/>
    </sheetView>
  </sheetViews>
  <sheetFormatPr baseColWidth="8" defaultRowHeight="15"/>
  <cols>
    <col width="12" customWidth="1" min="1" max="1"/>
    <col width="8" customWidth="1" min="2" max="2"/>
    <col width="28" customWidth="1" min="3" max="3"/>
    <col width="20" customWidth="1" min="4" max="4"/>
    <col width="30" customWidth="1" min="5" max="5"/>
    <col width="14" customWidth="1" min="6" max="6"/>
  </cols>
  <sheetData>
    <row r="1" ht="26" customHeight="1">
      <c r="A1" s="1" t="inlineStr">
        <is>
          <t>10 · CẤU TRÚC SIDEBAR</t>
        </is>
      </c>
    </row>
    <row r="2">
      <c r="A2" s="2" t="inlineStr">
        <is>
          <t>Menu web theo vai trò</t>
        </is>
      </c>
    </row>
    <row r="3" ht="30" customHeight="1">
      <c r="A3" s="3" t="inlineStr">
        <is>
          <t>Icon bộ Lucide; quyền thật kiểm tra ở API.</t>
        </is>
      </c>
    </row>
    <row r="4" ht="32" customHeight="1">
      <c r="A4" s="4" t="inlineStr">
        <is>
          <t>Vai trò</t>
        </is>
      </c>
      <c r="B4" s="4" t="inlineStr">
        <is>
          <t>Thứ tự</t>
        </is>
      </c>
      <c r="C4" s="4" t="inlineStr">
        <is>
          <t>Menu</t>
        </is>
      </c>
      <c r="D4" s="4" t="inlineStr">
        <is>
          <t>Icon</t>
        </is>
      </c>
      <c r="E4" s="4" t="inlineStr">
        <is>
          <t>Route</t>
        </is>
      </c>
      <c r="F4" s="4" t="inlineStr">
        <is>
          <t>Mã màn hình</t>
        </is>
      </c>
    </row>
    <row r="5">
      <c r="A5" s="24" t="inlineStr">
        <is>
          <t>Owner</t>
        </is>
      </c>
      <c r="B5" s="24" t="n">
        <v>1</v>
      </c>
      <c r="C5" s="25" t="inlineStr">
        <is>
          <t>Tổng quan</t>
        </is>
      </c>
      <c r="D5" s="25" t="inlineStr">
        <is>
          <t>layout-dashboard</t>
        </is>
      </c>
      <c r="E5" s="25" t="inlineStr">
        <is>
          <t>/owner</t>
        </is>
      </c>
      <c r="F5" s="24" t="inlineStr">
        <is>
          <t>SCR-W30</t>
        </is>
      </c>
    </row>
    <row r="6">
      <c r="A6" s="26" t="inlineStr">
        <is>
          <t>Owner</t>
        </is>
      </c>
      <c r="B6" s="26" t="n">
        <v>2</v>
      </c>
      <c r="C6" s="27" t="inlineStr">
        <is>
          <t>Lịch hẹn</t>
        </is>
      </c>
      <c r="D6" s="27" t="inlineStr">
        <is>
          <t>calendar-days</t>
        </is>
      </c>
      <c r="E6" s="27" t="inlineStr">
        <is>
          <t>/owner/bookings</t>
        </is>
      </c>
      <c r="F6" s="26" t="inlineStr">
        <is>
          <t>SCR-W34</t>
        </is>
      </c>
    </row>
    <row r="7">
      <c r="A7" s="24" t="inlineStr">
        <is>
          <t>Owner</t>
        </is>
      </c>
      <c r="B7" s="24" t="n">
        <v>3</v>
      </c>
      <c r="C7" s="25" t="inlineStr">
        <is>
          <t>Liệu trình</t>
        </is>
      </c>
      <c r="D7" s="25" t="inlineStr">
        <is>
          <t>sparkles</t>
        </is>
      </c>
      <c r="E7" s="25" t="inlineStr">
        <is>
          <t>/owner/treatments</t>
        </is>
      </c>
      <c r="F7" s="24" t="inlineStr">
        <is>
          <t>SCR-W36</t>
        </is>
      </c>
    </row>
    <row r="8">
      <c r="A8" s="26" t="inlineStr">
        <is>
          <t>Owner</t>
        </is>
      </c>
      <c r="B8" s="26" t="n">
        <v>4</v>
      </c>
      <c r="C8" s="27" t="inlineStr">
        <is>
          <t>Đơn hàng</t>
        </is>
      </c>
      <c r="D8" s="27" t="inlineStr">
        <is>
          <t>receipt</t>
        </is>
      </c>
      <c r="E8" s="27" t="inlineStr">
        <is>
          <t>/owner/orders</t>
        </is>
      </c>
      <c r="F8" s="26" t="inlineStr">
        <is>
          <t>SCR-W37</t>
        </is>
      </c>
    </row>
    <row r="9">
      <c r="A9" s="24" t="inlineStr">
        <is>
          <t>Owner</t>
        </is>
      </c>
      <c r="B9" s="24" t="n">
        <v>5</v>
      </c>
      <c r="C9" s="25" t="inlineStr">
        <is>
          <t>Dịch vụ</t>
        </is>
      </c>
      <c r="D9" s="25" t="inlineStr">
        <is>
          <t>flower-2</t>
        </is>
      </c>
      <c r="E9" s="25" t="inlineStr">
        <is>
          <t>/owner/services</t>
        </is>
      </c>
      <c r="F9" s="24" t="inlineStr">
        <is>
          <t>SCR-W31</t>
        </is>
      </c>
    </row>
    <row r="10">
      <c r="A10" s="26" t="inlineStr">
        <is>
          <t>Owner</t>
        </is>
      </c>
      <c r="B10" s="26" t="n">
        <v>6</v>
      </c>
      <c r="C10" s="27" t="inlineStr">
        <is>
          <t>Gói dịch vụ</t>
        </is>
      </c>
      <c r="D10" s="27" t="inlineStr">
        <is>
          <t>package</t>
        </is>
      </c>
      <c r="E10" s="27" t="inlineStr">
        <is>
          <t>/owner/packages</t>
        </is>
      </c>
      <c r="F10" s="26" t="inlineStr">
        <is>
          <t>SCR-W32</t>
        </is>
      </c>
    </row>
    <row r="11">
      <c r="A11" s="24" t="inlineStr">
        <is>
          <t>Owner</t>
        </is>
      </c>
      <c r="B11" s="24" t="n">
        <v>7</v>
      </c>
      <c r="C11" s="25" t="inlineStr">
        <is>
          <t>Khuyến mãi</t>
        </is>
      </c>
      <c r="D11" s="25" t="inlineStr">
        <is>
          <t>ticket-percent</t>
        </is>
      </c>
      <c r="E11" s="25" t="inlineStr">
        <is>
          <t>/owner/promotions</t>
        </is>
      </c>
      <c r="F11" s="24" t="inlineStr">
        <is>
          <t>SCR-W35</t>
        </is>
      </c>
    </row>
    <row r="12">
      <c r="A12" s="26" t="inlineStr">
        <is>
          <t>Owner</t>
        </is>
      </c>
      <c r="B12" s="26" t="n">
        <v>8</v>
      </c>
      <c r="C12" s="27" t="inlineStr">
        <is>
          <t>Nhân viên &amp; lịch làm việc</t>
        </is>
      </c>
      <c r="D12" s="27" t="inlineStr">
        <is>
          <t>id-card</t>
        </is>
      </c>
      <c r="E12" s="27" t="inlineStr">
        <is>
          <t>/owner/staff</t>
        </is>
      </c>
      <c r="F12" s="26" t="inlineStr">
        <is>
          <t>SCR-W33</t>
        </is>
      </c>
    </row>
    <row r="13">
      <c r="A13" s="24" t="inlineStr">
        <is>
          <t>Owner</t>
        </is>
      </c>
      <c r="B13" s="24" t="n">
        <v>9</v>
      </c>
      <c r="C13" s="25" t="inlineStr">
        <is>
          <t>Đánh giá</t>
        </is>
      </c>
      <c r="D13" s="25" t="inlineStr">
        <is>
          <t>star</t>
        </is>
      </c>
      <c r="E13" s="25" t="inlineStr">
        <is>
          <t>/owner/reviews</t>
        </is>
      </c>
      <c r="F13" s="24" t="inlineStr">
        <is>
          <t>SCR-W39</t>
        </is>
      </c>
    </row>
    <row r="14">
      <c r="A14" s="26" t="inlineStr">
        <is>
          <t>Owner</t>
        </is>
      </c>
      <c r="B14" s="26" t="n">
        <v>10</v>
      </c>
      <c r="C14" s="27" t="inlineStr">
        <is>
          <t>Tài khoản người dùng</t>
        </is>
      </c>
      <c r="D14" s="27" t="inlineStr">
        <is>
          <t>users</t>
        </is>
      </c>
      <c r="E14" s="27" t="inlineStr">
        <is>
          <t>/owner/accounts</t>
        </is>
      </c>
      <c r="F14" s="26" t="inlineStr">
        <is>
          <t>SCR-W40</t>
        </is>
      </c>
    </row>
    <row r="15">
      <c r="A15" s="24" t="inlineStr">
        <is>
          <t>Owner</t>
        </is>
      </c>
      <c r="B15" s="24" t="n">
        <v>11</v>
      </c>
      <c r="C15" s="25" t="inlineStr">
        <is>
          <t>Báo cáo doanh thu</t>
        </is>
      </c>
      <c r="D15" s="25" t="inlineStr">
        <is>
          <t>chart-column</t>
        </is>
      </c>
      <c r="E15" s="25" t="inlineStr">
        <is>
          <t>/owner/reports</t>
        </is>
      </c>
      <c r="F15" s="24" t="inlineStr">
        <is>
          <t>SCR-W38</t>
        </is>
      </c>
    </row>
    <row r="16">
      <c r="A16" s="26" t="inlineStr">
        <is>
          <t>Staff</t>
        </is>
      </c>
      <c r="B16" s="26" t="n">
        <v>1</v>
      </c>
      <c r="C16" s="27" t="inlineStr">
        <is>
          <t>Tổng quan</t>
        </is>
      </c>
      <c r="D16" s="27" t="inlineStr">
        <is>
          <t>layout-dashboard</t>
        </is>
      </c>
      <c r="E16" s="27" t="inlineStr">
        <is>
          <t>/staff</t>
        </is>
      </c>
      <c r="F16" s="26" t="inlineStr">
        <is>
          <t>SCR-W24</t>
        </is>
      </c>
    </row>
    <row r="17">
      <c r="A17" s="24" t="inlineStr">
        <is>
          <t>Staff</t>
        </is>
      </c>
      <c r="B17" s="24" t="n">
        <v>2</v>
      </c>
      <c r="C17" s="25" t="inlineStr">
        <is>
          <t>Lịch làm việc</t>
        </is>
      </c>
      <c r="D17" s="25" t="inlineStr">
        <is>
          <t>calendar-clock</t>
        </is>
      </c>
      <c r="E17" s="25" t="inlineStr">
        <is>
          <t>/staff/schedule</t>
        </is>
      </c>
      <c r="F17" s="24" t="inlineStr">
        <is>
          <t>SCR-W25</t>
        </is>
      </c>
    </row>
    <row r="18">
      <c r="A18" s="26" t="inlineStr">
        <is>
          <t>Staff</t>
        </is>
      </c>
      <c r="B18" s="26" t="n">
        <v>3</v>
      </c>
      <c r="C18" s="27" t="inlineStr">
        <is>
          <t>Lịch hẹn được phân công</t>
        </is>
      </c>
      <c r="D18" s="27" t="inlineStr">
        <is>
          <t>clipboard-list</t>
        </is>
      </c>
      <c r="E18" s="27" t="inlineStr">
        <is>
          <t>/staff/bookings</t>
        </is>
      </c>
      <c r="F18" s="26" t="inlineStr">
        <is>
          <t>SCR-W26</t>
        </is>
      </c>
    </row>
    <row r="19">
      <c r="A19" s="24" t="inlineStr">
        <is>
          <t>Staff</t>
        </is>
      </c>
      <c r="B19" s="24" t="n">
        <v>4</v>
      </c>
      <c r="C19" s="25" t="inlineStr">
        <is>
          <t>Lịch sử khách đã chăm sóc</t>
        </is>
      </c>
      <c r="D19" s="25" t="inlineStr">
        <is>
          <t>history</t>
        </is>
      </c>
      <c r="E19" s="25" t="inlineStr">
        <is>
          <t>/staff/care-history</t>
        </is>
      </c>
      <c r="F19" s="24" t="inlineStr">
        <is>
          <t>SCR-W28</t>
        </is>
      </c>
    </row>
    <row r="20">
      <c r="A20" s="26" t="inlineStr">
        <is>
          <t>Staff</t>
        </is>
      </c>
      <c r="B20" s="26" t="n">
        <v>5</v>
      </c>
      <c r="C20" s="27" t="inlineStr">
        <is>
          <t>Liệu trình phụ trách</t>
        </is>
      </c>
      <c r="D20" s="27" t="inlineStr">
        <is>
          <t>sparkles</t>
        </is>
      </c>
      <c r="E20" s="27" t="inlineStr">
        <is>
          <t>/staff/treatments</t>
        </is>
      </c>
      <c r="F20" s="26" t="inlineStr">
        <is>
          <t>SCR-W29</t>
        </is>
      </c>
    </row>
    <row r="21">
      <c r="A21" s="24" t="inlineStr">
        <is>
          <t>Staff</t>
        </is>
      </c>
      <c r="B21" s="24" t="n">
        <v>6</v>
      </c>
      <c r="C21" s="25" t="inlineStr">
        <is>
          <t>Thông báo</t>
        </is>
      </c>
      <c r="D21" s="25" t="inlineStr">
        <is>
          <t>bell</t>
        </is>
      </c>
      <c r="E21" s="25" t="inlineStr">
        <is>
          <t>/notifications</t>
        </is>
      </c>
      <c r="F21" s="24" t="inlineStr">
        <is>
          <t>SCR-W23</t>
        </is>
      </c>
    </row>
    <row r="22">
      <c r="A22" s="26" t="inlineStr">
        <is>
          <t>Customer</t>
        </is>
      </c>
      <c r="B22" s="26" t="n">
        <v>1</v>
      </c>
      <c r="C22" s="27" t="inlineStr">
        <is>
          <t>Lịch hẹn của tôi</t>
        </is>
      </c>
      <c r="D22" s="27" t="inlineStr">
        <is>
          <t>calendar-days</t>
        </is>
      </c>
      <c r="E22" s="27" t="inlineStr">
        <is>
          <t>/my-bookings</t>
        </is>
      </c>
      <c r="F22" s="26" t="inlineStr">
        <is>
          <t>SCR-W14</t>
        </is>
      </c>
    </row>
    <row r="23">
      <c r="A23" s="24" t="inlineStr">
        <is>
          <t>Customer</t>
        </is>
      </c>
      <c r="B23" s="24" t="n">
        <v>2</v>
      </c>
      <c r="C23" s="25" t="inlineStr">
        <is>
          <t>Dịch vụ và gói của tôi</t>
        </is>
      </c>
      <c r="D23" s="25" t="inlineStr">
        <is>
          <t>package</t>
        </is>
      </c>
      <c r="E23" s="25" t="inlineStr">
        <is>
          <t>/my-packages</t>
        </is>
      </c>
      <c r="F23" s="24" t="inlineStr">
        <is>
          <t>SCR-W16</t>
        </is>
      </c>
    </row>
    <row r="24">
      <c r="A24" s="26" t="inlineStr">
        <is>
          <t>Customer</t>
        </is>
      </c>
      <c r="B24" s="26" t="n">
        <v>3</v>
      </c>
      <c r="C24" s="27" t="inlineStr">
        <is>
          <t>Liệu trình</t>
        </is>
      </c>
      <c r="D24" s="27" t="inlineStr">
        <is>
          <t>sparkles</t>
        </is>
      </c>
      <c r="E24" s="27" t="inlineStr">
        <is>
          <t>/my-treatment-plans</t>
        </is>
      </c>
      <c r="F24" s="26" t="inlineStr">
        <is>
          <t>SCR-W17</t>
        </is>
      </c>
    </row>
    <row r="25">
      <c r="A25" s="24" t="inlineStr">
        <is>
          <t>Customer</t>
        </is>
      </c>
      <c r="B25" s="24" t="n">
        <v>4</v>
      </c>
      <c r="C25" s="25" t="inlineStr">
        <is>
          <t>Lịch sử sử dụng</t>
        </is>
      </c>
      <c r="D25" s="25" t="inlineStr">
        <is>
          <t>history</t>
        </is>
      </c>
      <c r="E25" s="25" t="inlineStr">
        <is>
          <t>/my-history</t>
        </is>
      </c>
      <c r="F25" s="24" t="inlineStr">
        <is>
          <t>SCR-W18</t>
        </is>
      </c>
    </row>
    <row r="26">
      <c r="A26" s="26" t="inlineStr">
        <is>
          <t>Customer</t>
        </is>
      </c>
      <c r="B26" s="26" t="n">
        <v>5</v>
      </c>
      <c r="C26" s="27" t="inlineStr">
        <is>
          <t>Đơn hàng</t>
        </is>
      </c>
      <c r="D26" s="27" t="inlineStr">
        <is>
          <t>receipt</t>
        </is>
      </c>
      <c r="E26" s="27" t="inlineStr">
        <is>
          <t>/my-orders</t>
        </is>
      </c>
      <c r="F26" s="26" t="inlineStr">
        <is>
          <t>SCR-W19</t>
        </is>
      </c>
    </row>
    <row r="27">
      <c r="A27" s="24" t="inlineStr">
        <is>
          <t>Customer</t>
        </is>
      </c>
      <c r="B27" s="24" t="n">
        <v>6</v>
      </c>
      <c r="C27" s="25" t="inlineStr">
        <is>
          <t>Giỏ hàng</t>
        </is>
      </c>
      <c r="D27" s="25" t="inlineStr">
        <is>
          <t>shopping-cart</t>
        </is>
      </c>
      <c r="E27" s="25" t="inlineStr">
        <is>
          <t>/cart</t>
        </is>
      </c>
      <c r="F27" s="24" t="inlineStr">
        <is>
          <t>SCR-W10</t>
        </is>
      </c>
    </row>
    <row r="28">
      <c r="A28" s="26" t="inlineStr">
        <is>
          <t>Customer</t>
        </is>
      </c>
      <c r="B28" s="26" t="n">
        <v>7</v>
      </c>
      <c r="C28" s="27" t="inlineStr">
        <is>
          <t>Đánh giá</t>
        </is>
      </c>
      <c r="D28" s="27" t="inlineStr">
        <is>
          <t>star</t>
        </is>
      </c>
      <c r="E28" s="27" t="inlineStr">
        <is>
          <t>/my-reviews</t>
        </is>
      </c>
      <c r="F28" s="26" t="inlineStr">
        <is>
          <t>SCR-W20</t>
        </is>
      </c>
    </row>
    <row r="29">
      <c r="A29" s="24" t="inlineStr">
        <is>
          <t>Customer</t>
        </is>
      </c>
      <c r="B29" s="24" t="n">
        <v>8</v>
      </c>
      <c r="C29" s="25" t="inlineStr">
        <is>
          <t>Trợ lý AI</t>
        </is>
      </c>
      <c r="D29" s="25" t="inlineStr">
        <is>
          <t>bot</t>
        </is>
      </c>
      <c r="E29" s="25" t="inlineStr">
        <is>
          <t>/ai-assistant</t>
        </is>
      </c>
      <c r="F29" s="24" t="inlineStr">
        <is>
          <t>SCR-W21</t>
        </is>
      </c>
    </row>
    <row r="30">
      <c r="A30" s="26" t="inlineStr">
        <is>
          <t>Customer</t>
        </is>
      </c>
      <c r="B30" s="26" t="n">
        <v>9</v>
      </c>
      <c r="C30" s="27" t="inlineStr">
        <is>
          <t>Thông báo</t>
        </is>
      </c>
      <c r="D30" s="27" t="inlineStr">
        <is>
          <t>bell</t>
        </is>
      </c>
      <c r="E30" s="27" t="inlineStr">
        <is>
          <t>/notifications</t>
        </is>
      </c>
      <c r="F30" s="26" t="inlineStr">
        <is>
          <t>SCR-W23</t>
        </is>
      </c>
    </row>
    <row r="31">
      <c r="A31" s="24" t="inlineStr">
        <is>
          <t>Customer</t>
        </is>
      </c>
      <c r="B31" s="24" t="n">
        <v>10</v>
      </c>
      <c r="C31" s="25" t="inlineStr">
        <is>
          <t>Tài khoản</t>
        </is>
      </c>
      <c r="D31" s="25" t="inlineStr">
        <is>
          <t>user-round</t>
        </is>
      </c>
      <c r="E31" s="25" t="inlineStr">
        <is>
          <t>/account</t>
        </is>
      </c>
      <c r="F31" s="24" t="inlineStr">
        <is>
          <t>SCR-W22</t>
        </is>
      </c>
    </row>
  </sheetData>
  <autoFilter ref="A4:F31"/>
  <mergeCells count="3">
    <mergeCell ref="A3:F3"/>
    <mergeCell ref="A2:F2"/>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76"/>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8" customWidth="1" min="3" max="3"/>
    <col width="16" customWidth="1" min="4" max="4"/>
    <col width="32" customWidth="1" min="5" max="5"/>
    <col width="42" customWidth="1" min="6" max="6"/>
    <col width="16" customWidth="1" min="7" max="7"/>
    <col width="30" customWidth="1" min="8" max="8"/>
    <col width="30" customWidth="1" min="9" max="9"/>
    <col width="30" customWidth="1" min="10" max="10"/>
    <col width="40" customWidth="1" min="11" max="11"/>
    <col width="36" customWidth="1" min="12" max="12"/>
    <col width="30" customWidth="1" min="13" max="13"/>
    <col width="20" customWidth="1" min="14" max="14"/>
    <col width="12" customWidth="1" min="15" max="15"/>
    <col width="10" customWidth="1" min="16" max="16"/>
  </cols>
  <sheetData>
    <row r="1" ht="26" customHeight="1">
      <c r="A1" s="1" t="inlineStr">
        <is>
          <t>11 · DANH MỤC MÀN HÌNH</t>
        </is>
      </c>
    </row>
    <row r="2">
      <c r="A2" s="2" t="inlineStr">
        <is>
          <t>72 màn hình · Web (React + Vite) và Android (Expo Router)</t>
        </is>
      </c>
    </row>
    <row r="3" ht="30" customHeight="1">
      <c r="A3" s="3" t="inlineStr">
        <is>
          <t>Trạng thái route: Đã có placeholder = route đã có trong repo (docs/frontend.md, docs/mobile.md); Đề xuất thêm = cần tạo; Có, cần đổi tên = route có nhưng tên chưa khớp DA.</t>
        </is>
      </c>
    </row>
    <row r="4" ht="32" customHeight="1">
      <c r="A4" s="4" t="inlineStr">
        <is>
          <t>Mã màn hình</t>
        </is>
      </c>
      <c r="B4" s="4" t="inlineStr">
        <is>
          <t>Nền tảng</t>
        </is>
      </c>
      <c r="C4" s="4" t="inlineStr">
        <is>
          <t>Khu vực / Layout</t>
        </is>
      </c>
      <c r="D4" s="4" t="inlineStr">
        <is>
          <t>Nhóm</t>
        </is>
      </c>
      <c r="E4" s="4" t="inlineStr">
        <is>
          <t>Tên màn hình</t>
        </is>
      </c>
      <c r="F4" s="4" t="inlineStr">
        <is>
          <t>Route</t>
        </is>
      </c>
      <c r="G4" s="4" t="inlineStr">
        <is>
          <t>Trạng thái route</t>
        </is>
      </c>
      <c r="H4" s="4" t="inlineStr">
        <is>
          <t>Mẫu giao diện</t>
        </is>
      </c>
      <c r="I4" s="4" t="inlineStr">
        <is>
          <t>Tabs</t>
        </is>
      </c>
      <c r="J4" s="4" t="inlineStr">
        <is>
          <t>Bộ lọc</t>
        </is>
      </c>
      <c r="K4" s="4" t="inlineStr">
        <is>
          <t>Cột bảng / KPI</t>
        </is>
      </c>
      <c r="L4" s="4" t="inlineStr">
        <is>
          <t>Hành động</t>
        </is>
      </c>
      <c r="M4" s="4" t="inlineStr">
        <is>
          <t>Modal / Drawer</t>
        </is>
      </c>
      <c r="N4" s="4" t="inlineStr">
        <is>
          <t>UC liên quan</t>
        </is>
      </c>
      <c r="O4" s="4" t="inlineStr">
        <is>
          <t>Vai trò</t>
        </is>
      </c>
      <c r="P4" s="4" t="inlineStr">
        <is>
          <t>Sprint</t>
        </is>
      </c>
    </row>
    <row r="5">
      <c r="A5" s="24" t="inlineStr">
        <is>
          <t>SCR-W01</t>
        </is>
      </c>
      <c r="B5" s="24" t="inlineStr">
        <is>
          <t>Web</t>
        </is>
      </c>
      <c r="C5" s="25" t="inlineStr">
        <is>
          <t>Public</t>
        </is>
      </c>
      <c r="D5" s="25" t="inlineStr">
        <is>
          <t>Trang chủ</t>
        </is>
      </c>
      <c r="E5" s="25" t="inlineStr">
        <is>
          <t>Trang chủ</t>
        </is>
      </c>
      <c r="F5" s="25" t="inlineStr">
        <is>
          <t>/</t>
        </is>
      </c>
      <c r="G5" s="24" t="inlineStr">
        <is>
          <t>Đã có placeholder</t>
        </is>
      </c>
      <c r="H5" s="25" t="inlineStr">
        <is>
          <t>Hero + dịch vụ/gói nổi bật + ô tìm kiếm</t>
        </is>
      </c>
      <c r="I5" s="25" t="inlineStr">
        <is>
          <t>—</t>
        </is>
      </c>
      <c r="J5" s="25" t="inlineStr">
        <is>
          <t>—</t>
        </is>
      </c>
      <c r="K5" s="25" t="inlineStr">
        <is>
          <t>Dịch vụ nổi bật; Gói nổi bật</t>
        </is>
      </c>
      <c r="L5" s="25" t="inlineStr">
        <is>
          <t>Tìm kiếm; Hỏi trợ lý AI</t>
        </is>
      </c>
      <c r="M5" s="25" t="inlineStr">
        <is>
          <t>Widget chat AI</t>
        </is>
      </c>
      <c r="N5" s="25" t="inlineStr">
        <is>
          <t>UC-SPA-06, 32</t>
        </is>
      </c>
      <c r="O5" s="25" t="inlineStr">
        <is>
          <t>GUEST, CUS</t>
        </is>
      </c>
      <c r="P5" s="24" t="inlineStr">
        <is>
          <t>Sprint 1</t>
        </is>
      </c>
    </row>
    <row r="6">
      <c r="A6" s="26" t="inlineStr">
        <is>
          <t>SCR-W02</t>
        </is>
      </c>
      <c r="B6" s="26" t="inlineStr">
        <is>
          <t>Web</t>
        </is>
      </c>
      <c r="C6" s="27" t="inlineStr">
        <is>
          <t>Public</t>
        </is>
      </c>
      <c r="D6" s="27" t="inlineStr">
        <is>
          <t>Dịch vụ</t>
        </is>
      </c>
      <c r="E6" s="27" t="inlineStr">
        <is>
          <t>Tìm kiếm dịch vụ</t>
        </is>
      </c>
      <c r="F6" s="27" t="inlineStr">
        <is>
          <t>/services</t>
        </is>
      </c>
      <c r="G6" s="26" t="inlineStr">
        <is>
          <t>Đã có placeholder</t>
        </is>
      </c>
      <c r="H6" s="27" t="inlineStr">
        <is>
          <t>Grid thẻ + bộ lọc</t>
        </is>
      </c>
      <c r="I6" s="27" t="inlineStr">
        <is>
          <t>—</t>
        </is>
      </c>
      <c r="J6" s="27" t="inlineStr">
        <is>
          <t>Từ khóa (gợi ý); Loại dịch vụ; Khoảng giá; Chỉ dịch vụ đã từng sử dụng (đã đăng nhập)</t>
        </is>
      </c>
      <c r="K6" s="27" t="inlineStr">
        <is>
          <t>Ảnh; Tên; Giá; Thời lượng; ★; Nhãn 'Đã sử dụng'</t>
        </is>
      </c>
      <c r="L6" s="27" t="inlineStr">
        <is>
          <t>Xem chi tiết; Thêm vào giỏ; Xóa bộ lọc; Hỏi AI</t>
        </is>
      </c>
      <c r="M6" s="27" t="inlineStr">
        <is>
          <t>—</t>
        </is>
      </c>
      <c r="N6" s="27" t="inlineStr">
        <is>
          <t>UC-SPA-06, 32</t>
        </is>
      </c>
      <c r="O6" s="27" t="inlineStr">
        <is>
          <t>GUEST, CUS</t>
        </is>
      </c>
      <c r="P6" s="26" t="inlineStr">
        <is>
          <t>Sprint 1</t>
        </is>
      </c>
    </row>
    <row r="7">
      <c r="A7" s="24" t="inlineStr">
        <is>
          <t>SCR-W03</t>
        </is>
      </c>
      <c r="B7" s="24" t="inlineStr">
        <is>
          <t>Web</t>
        </is>
      </c>
      <c r="C7" s="25" t="inlineStr">
        <is>
          <t>Public</t>
        </is>
      </c>
      <c r="D7" s="25" t="inlineStr">
        <is>
          <t>Dịch vụ</t>
        </is>
      </c>
      <c r="E7" s="25" t="inlineStr">
        <is>
          <t>Chi tiết dịch vụ</t>
        </is>
      </c>
      <c r="F7" s="25" t="inlineStr">
        <is>
          <t>/services/:serviceId</t>
        </is>
      </c>
      <c r="G7" s="24" t="inlineStr">
        <is>
          <t>Đã có placeholder</t>
        </is>
      </c>
      <c r="H7" s="25" t="inlineStr">
        <is>
          <t>Chi tiết + CTA cố định</t>
        </is>
      </c>
      <c r="I7" s="25" t="inlineStr">
        <is>
          <t>Mô tả; Đánh giá</t>
        </is>
      </c>
      <c r="J7" s="25" t="inlineStr">
        <is>
          <t>Lọc đánh giá theo sao</t>
        </is>
      </c>
      <c r="K7" s="25" t="inlineStr">
        <is>
          <t>Giá; Thời lượng; Ảnh; ★ trung bình</t>
        </is>
      </c>
      <c r="L7" s="25" t="inlineStr">
        <is>
          <t>Thêm vào giỏ; Đặt ngay</t>
        </is>
      </c>
      <c r="M7" s="25" t="inlineStr">
        <is>
          <t>—</t>
        </is>
      </c>
      <c r="N7" s="25" t="inlineStr">
        <is>
          <t>UC-SPA-07, 29</t>
        </is>
      </c>
      <c r="O7" s="25" t="inlineStr">
        <is>
          <t>GUEST, CUS</t>
        </is>
      </c>
      <c r="P7" s="24" t="inlineStr">
        <is>
          <t>Sprint 1</t>
        </is>
      </c>
    </row>
    <row r="8">
      <c r="A8" s="26" t="inlineStr">
        <is>
          <t>SCR-W04</t>
        </is>
      </c>
      <c r="B8" s="26" t="inlineStr">
        <is>
          <t>Web</t>
        </is>
      </c>
      <c r="C8" s="27" t="inlineStr">
        <is>
          <t>Public</t>
        </is>
      </c>
      <c r="D8" s="27" t="inlineStr">
        <is>
          <t>Gói dịch vụ</t>
        </is>
      </c>
      <c r="E8" s="27" t="inlineStr">
        <is>
          <t>Tìm kiếm gói dịch vụ</t>
        </is>
      </c>
      <c r="F8" s="27" t="inlineStr">
        <is>
          <t>/packages</t>
        </is>
      </c>
      <c r="G8" s="26" t="inlineStr">
        <is>
          <t>Đã có placeholder</t>
        </is>
      </c>
      <c r="H8" s="27" t="inlineStr">
        <is>
          <t>Grid thẻ</t>
        </is>
      </c>
      <c r="I8" s="27" t="inlineStr">
        <is>
          <t>—</t>
        </is>
      </c>
      <c r="J8" s="27" t="inlineStr">
        <is>
          <t>Từ khóa; Khoảng giá</t>
        </is>
      </c>
      <c r="K8" s="27" t="inlineStr">
        <is>
          <t>Tên; Tổng buổi; Thời hạn; Giá</t>
        </is>
      </c>
      <c r="L8" s="27" t="inlineStr">
        <is>
          <t>Xem chi tiết; Thêm vào giỏ</t>
        </is>
      </c>
      <c r="M8" s="27" t="inlineStr">
        <is>
          <t>—</t>
        </is>
      </c>
      <c r="N8" s="27" t="inlineStr">
        <is>
          <t>UC-SPA-06</t>
        </is>
      </c>
      <c r="O8" s="27" t="inlineStr">
        <is>
          <t>GUEST, CUS</t>
        </is>
      </c>
      <c r="P8" s="26" t="inlineStr">
        <is>
          <t>Sprint 1</t>
        </is>
      </c>
    </row>
    <row r="9">
      <c r="A9" s="24" t="inlineStr">
        <is>
          <t>SCR-W05</t>
        </is>
      </c>
      <c r="B9" s="24" t="inlineStr">
        <is>
          <t>Web</t>
        </is>
      </c>
      <c r="C9" s="25" t="inlineStr">
        <is>
          <t>Public</t>
        </is>
      </c>
      <c r="D9" s="25" t="inlineStr">
        <is>
          <t>Gói dịch vụ</t>
        </is>
      </c>
      <c r="E9" s="25" t="inlineStr">
        <is>
          <t>Chi tiết gói dịch vụ</t>
        </is>
      </c>
      <c r="F9" s="25" t="inlineStr">
        <is>
          <t>/packages/:packageId</t>
        </is>
      </c>
      <c r="G9" s="24" t="inlineStr">
        <is>
          <t>Đã có placeholder</t>
        </is>
      </c>
      <c r="H9" s="25" t="inlineStr">
        <is>
          <t>Chi tiết + trình tự buổi</t>
        </is>
      </c>
      <c r="I9" s="25" t="inlineStr">
        <is>
          <t>Tổng quan; Dịch vụ thành phần; Đánh giá</t>
        </is>
      </c>
      <c r="J9" s="25" t="inlineStr">
        <is>
          <t>—</t>
        </is>
      </c>
      <c r="K9" s="25" t="inlineStr">
        <is>
          <t>Dịch vụ theo ThuTu; SoBuoi; Khoảng cách tối thiểu; Thời hạn</t>
        </is>
      </c>
      <c r="L9" s="25" t="inlineStr">
        <is>
          <t>Thêm vào giỏ; Mua ngay</t>
        </is>
      </c>
      <c r="M9" s="25" t="inlineStr">
        <is>
          <t>—</t>
        </is>
      </c>
      <c r="N9" s="25" t="inlineStr">
        <is>
          <t>UC-SPA-07, 29</t>
        </is>
      </c>
      <c r="O9" s="25" t="inlineStr">
        <is>
          <t>GUEST, CUS</t>
        </is>
      </c>
      <c r="P9" s="24" t="inlineStr">
        <is>
          <t>Sprint 1</t>
        </is>
      </c>
    </row>
    <row r="10">
      <c r="A10" s="26" t="inlineStr">
        <is>
          <t>SCR-W06</t>
        </is>
      </c>
      <c r="B10" s="26" t="inlineStr">
        <is>
          <t>Web</t>
        </is>
      </c>
      <c r="C10" s="27" t="inlineStr">
        <is>
          <t>Public</t>
        </is>
      </c>
      <c r="D10" s="27" t="inlineStr">
        <is>
          <t>Giới thiệu</t>
        </is>
      </c>
      <c r="E10" s="27" t="inlineStr">
        <is>
          <t>Giới thiệu spa</t>
        </is>
      </c>
      <c r="F10" s="27" t="inlineStr">
        <is>
          <t>/about</t>
        </is>
      </c>
      <c r="G10" s="26" t="inlineStr">
        <is>
          <t>Đề xuất thêm</t>
        </is>
      </c>
      <c r="H10" s="27" t="inlineStr">
        <is>
          <t>Trang nội dung</t>
        </is>
      </c>
      <c r="I10" s="27" t="inlineStr">
        <is>
          <t>—</t>
        </is>
      </c>
      <c r="J10" s="27" t="inlineStr">
        <is>
          <t>—</t>
        </is>
      </c>
      <c r="K10" s="27" t="inlineStr">
        <is>
          <t>Giới thiệu; Địa chỉ; SĐT; Giờ mở cửa; Bản đồ</t>
        </is>
      </c>
      <c r="L10" s="27" t="inlineStr">
        <is>
          <t>Liên hệ</t>
        </is>
      </c>
      <c r="M10" s="27" t="inlineStr">
        <is>
          <t>—</t>
        </is>
      </c>
      <c r="N10" s="27" t="inlineStr">
        <is>
          <t>UC-SPA-08</t>
        </is>
      </c>
      <c r="O10" s="27" t="inlineStr">
        <is>
          <t>GUEST, CUS</t>
        </is>
      </c>
      <c r="P10" s="26" t="inlineStr">
        <is>
          <t>Sprint 1</t>
        </is>
      </c>
    </row>
    <row r="11">
      <c r="A11" s="24" t="inlineStr">
        <is>
          <t>SCR-W07</t>
        </is>
      </c>
      <c r="B11" s="24" t="inlineStr">
        <is>
          <t>Web</t>
        </is>
      </c>
      <c r="C11" s="25" t="inlineStr">
        <is>
          <t>Public</t>
        </is>
      </c>
      <c r="D11" s="25" t="inlineStr">
        <is>
          <t>Tài khoản</t>
        </is>
      </c>
      <c r="E11" s="25" t="inlineStr">
        <is>
          <t>Đăng nhập</t>
        </is>
      </c>
      <c r="F11" s="25" t="inlineStr">
        <is>
          <t>/login</t>
        </is>
      </c>
      <c r="G11" s="24" t="inlineStr">
        <is>
          <t>Đã có placeholder</t>
        </is>
      </c>
      <c r="H11" s="25" t="inlineStr">
        <is>
          <t>Form</t>
        </is>
      </c>
      <c r="I11" s="25" t="inlineStr">
        <is>
          <t>—</t>
        </is>
      </c>
      <c r="J11" s="25" t="inlineStr">
        <is>
          <t>—</t>
        </is>
      </c>
      <c r="K11" s="25" t="inlineStr">
        <is>
          <t>—</t>
        </is>
      </c>
      <c r="L11" s="25" t="inlineStr">
        <is>
          <t>Đăng nhập; Quên mật khẩu</t>
        </is>
      </c>
      <c r="M11" s="25" t="inlineStr">
        <is>
          <t>—</t>
        </is>
      </c>
      <c r="N11" s="25" t="inlineStr">
        <is>
          <t>UC-SPA-02</t>
        </is>
      </c>
      <c r="O11" s="25" t="inlineStr">
        <is>
          <t>GUEST</t>
        </is>
      </c>
      <c r="P11" s="24" t="inlineStr">
        <is>
          <t>Sprint 1</t>
        </is>
      </c>
    </row>
    <row r="12">
      <c r="A12" s="26" t="inlineStr">
        <is>
          <t>SCR-W08</t>
        </is>
      </c>
      <c r="B12" s="26" t="inlineStr">
        <is>
          <t>Web</t>
        </is>
      </c>
      <c r="C12" s="27" t="inlineStr">
        <is>
          <t>Public</t>
        </is>
      </c>
      <c r="D12" s="27" t="inlineStr">
        <is>
          <t>Tài khoản</t>
        </is>
      </c>
      <c r="E12" s="27" t="inlineStr">
        <is>
          <t>Đăng ký (2 bước: thông tin → OTP)</t>
        </is>
      </c>
      <c r="F12" s="27" t="inlineStr">
        <is>
          <t>/register</t>
        </is>
      </c>
      <c r="G12" s="26" t="inlineStr">
        <is>
          <t>Đã có placeholder</t>
        </is>
      </c>
      <c r="H12" s="27" t="inlineStr">
        <is>
          <t>Form + bước OTP</t>
        </is>
      </c>
      <c r="I12" s="27" t="inlineStr">
        <is>
          <t>—</t>
        </is>
      </c>
      <c r="J12" s="27" t="inlineStr">
        <is>
          <t>—</t>
        </is>
      </c>
      <c r="K12" s="27" t="inlineStr">
        <is>
          <t>—</t>
        </is>
      </c>
      <c r="L12" s="27" t="inlineStr">
        <is>
          <t>Đăng ký; Nhập OTP; Gửi lại OTP</t>
        </is>
      </c>
      <c r="M12" s="27" t="inlineStr">
        <is>
          <t>—</t>
        </is>
      </c>
      <c r="N12" s="27" t="inlineStr">
        <is>
          <t>UC-SPA-01</t>
        </is>
      </c>
      <c r="O12" s="27" t="inlineStr">
        <is>
          <t>GUEST</t>
        </is>
      </c>
      <c r="P12" s="26" t="inlineStr">
        <is>
          <t>Sprint 1</t>
        </is>
      </c>
    </row>
    <row r="13">
      <c r="A13" s="24" t="inlineStr">
        <is>
          <t>SCR-W09</t>
        </is>
      </c>
      <c r="B13" s="24" t="inlineStr">
        <is>
          <t>Web</t>
        </is>
      </c>
      <c r="C13" s="25" t="inlineStr">
        <is>
          <t>Public</t>
        </is>
      </c>
      <c r="D13" s="25" t="inlineStr">
        <is>
          <t>Tài khoản</t>
        </is>
      </c>
      <c r="E13" s="25" t="inlineStr">
        <is>
          <t>Quên mật khẩu (email → OTP → mật khẩu mới)</t>
        </is>
      </c>
      <c r="F13" s="25" t="inlineStr">
        <is>
          <t>/forgot-password</t>
        </is>
      </c>
      <c r="G13" s="24" t="inlineStr">
        <is>
          <t>Đề xuất thêm</t>
        </is>
      </c>
      <c r="H13" s="25" t="inlineStr">
        <is>
          <t>Form 3 bước</t>
        </is>
      </c>
      <c r="I13" s="25" t="inlineStr">
        <is>
          <t>—</t>
        </is>
      </c>
      <c r="J13" s="25" t="inlineStr">
        <is>
          <t>—</t>
        </is>
      </c>
      <c r="K13" s="25" t="inlineStr">
        <is>
          <t>—</t>
        </is>
      </c>
      <c r="L13" s="25" t="inlineStr">
        <is>
          <t>Gửi OTP; Xác nhận OTP; Đặt mật khẩu</t>
        </is>
      </c>
      <c r="M13" s="25" t="inlineStr">
        <is>
          <t>—</t>
        </is>
      </c>
      <c r="N13" s="25" t="inlineStr">
        <is>
          <t>UC-SPA-03</t>
        </is>
      </c>
      <c r="O13" s="25" t="inlineStr">
        <is>
          <t>GUEST</t>
        </is>
      </c>
      <c r="P13" s="24" t="inlineStr">
        <is>
          <t>Sprint 1</t>
        </is>
      </c>
    </row>
    <row r="14">
      <c r="A14" s="26" t="inlineStr">
        <is>
          <t>SCR-W10</t>
        </is>
      </c>
      <c r="B14" s="26" t="inlineStr">
        <is>
          <t>Web</t>
        </is>
      </c>
      <c r="C14" s="27" t="inlineStr">
        <is>
          <t>Customer</t>
        </is>
      </c>
      <c r="D14" s="27" t="inlineStr">
        <is>
          <t>Mua sắm</t>
        </is>
      </c>
      <c r="E14" s="27" t="inlineStr">
        <is>
          <t>Giỏ hàng</t>
        </is>
      </c>
      <c r="F14" s="27" t="inlineStr">
        <is>
          <t>/cart</t>
        </is>
      </c>
      <c r="G14" s="26" t="inlineStr">
        <is>
          <t>Đề xuất thêm</t>
        </is>
      </c>
      <c r="H14" s="27" t="inlineStr">
        <is>
          <t>Danh sách + tổng tiền</t>
        </is>
      </c>
      <c r="I14" s="27" t="inlineStr">
        <is>
          <t>—</t>
        </is>
      </c>
      <c r="J14" s="27" t="inlineStr">
        <is>
          <t>—</t>
        </is>
      </c>
      <c r="K14" s="27" t="inlineStr">
        <is>
          <t>Sản phẩm; Loại; Đơn giá; Tổng</t>
        </is>
      </c>
      <c r="L14" s="27" t="inlineStr">
        <is>
          <t>Xóa; Thanh toán</t>
        </is>
      </c>
      <c r="M14" s="27" t="inlineStr">
        <is>
          <t>Modal xác nhận xóa</t>
        </is>
      </c>
      <c r="N14" s="27" t="inlineStr">
        <is>
          <t>UC-SPA-10</t>
        </is>
      </c>
      <c r="O14" s="27" t="inlineStr">
        <is>
          <t>CUS</t>
        </is>
      </c>
      <c r="P14" s="26" t="inlineStr">
        <is>
          <t>Sprint 2</t>
        </is>
      </c>
    </row>
    <row r="15">
      <c r="A15" s="24" t="inlineStr">
        <is>
          <t>SCR-W11</t>
        </is>
      </c>
      <c r="B15" s="24" t="inlineStr">
        <is>
          <t>Web</t>
        </is>
      </c>
      <c r="C15" s="25" t="inlineStr">
        <is>
          <t>Customer</t>
        </is>
      </c>
      <c r="D15" s="25" t="inlineStr">
        <is>
          <t>Mua sắm</t>
        </is>
      </c>
      <c r="E15" s="25" t="inlineStr">
        <is>
          <t>Thanh toán</t>
        </is>
      </c>
      <c r="F15" s="25" t="inlineStr">
        <is>
          <t>/checkout?orderId=</t>
        </is>
      </c>
      <c r="G15" s="24" t="inlineStr">
        <is>
          <t>Đề xuất thêm</t>
        </is>
      </c>
      <c r="H15" s="25" t="inlineStr">
        <is>
          <t>Tóm tắt đơn + mã KM</t>
        </is>
      </c>
      <c r="I15" s="25" t="inlineStr">
        <is>
          <t>—</t>
        </is>
      </c>
      <c r="J15" s="25" t="inlineStr">
        <is>
          <t>—</t>
        </is>
      </c>
      <c r="K15" s="25" t="inlineStr">
        <is>
          <t>Chi tiết đơn; Giảm giá; Tổng thanh toán; Thời hạn giữ chỗ</t>
        </is>
      </c>
      <c r="L15" s="25" t="inlineStr">
        <is>
          <t>Áp mã KM; Xác nhận thanh toán</t>
        </is>
      </c>
      <c r="M15" s="25" t="inlineStr">
        <is>
          <t>—</t>
        </is>
      </c>
      <c r="N15" s="25" t="inlineStr">
        <is>
          <t>UC-SPA-11</t>
        </is>
      </c>
      <c r="O15" s="25" t="inlineStr">
        <is>
          <t>CUS</t>
        </is>
      </c>
      <c r="P15" s="24" t="inlineStr">
        <is>
          <t>Sprint 2</t>
        </is>
      </c>
    </row>
    <row r="16">
      <c r="A16" s="26" t="inlineStr">
        <is>
          <t>SCR-W12</t>
        </is>
      </c>
      <c r="B16" s="26" t="inlineStr">
        <is>
          <t>Web</t>
        </is>
      </c>
      <c r="C16" s="27" t="inlineStr">
        <is>
          <t>Customer</t>
        </is>
      </c>
      <c r="D16" s="27" t="inlineStr">
        <is>
          <t>Mua sắm</t>
        </is>
      </c>
      <c r="E16" s="27" t="inlineStr">
        <is>
          <t>Kết quả thanh toán</t>
        </is>
      </c>
      <c r="F16" s="27" t="inlineStr">
        <is>
          <t>/payment/result</t>
        </is>
      </c>
      <c r="G16" s="26" t="inlineStr">
        <is>
          <t>Đề xuất thêm</t>
        </is>
      </c>
      <c r="H16" s="27" t="inlineStr">
        <is>
          <t>Trạng thái</t>
        </is>
      </c>
      <c r="I16" s="27" t="inlineStr">
        <is>
          <t>—</t>
        </is>
      </c>
      <c r="J16" s="27" t="inlineStr">
        <is>
          <t>—</t>
        </is>
      </c>
      <c r="K16" s="27" t="inlineStr">
        <is>
          <t>Mã đơn; Trạng thái; Quyền sử dụng/Lịch hẹn</t>
        </is>
      </c>
      <c r="L16" s="27" t="inlineStr">
        <is>
          <t>Xem đơn; Thử lại; Đặt lịch</t>
        </is>
      </c>
      <c r="M16" s="27" t="inlineStr">
        <is>
          <t>—</t>
        </is>
      </c>
      <c r="N16" s="27" t="inlineStr">
        <is>
          <t>UC-SPA-11</t>
        </is>
      </c>
      <c r="O16" s="27" t="inlineStr">
        <is>
          <t>CUS</t>
        </is>
      </c>
      <c r="P16" s="26" t="inlineStr">
        <is>
          <t>Sprint 2</t>
        </is>
      </c>
    </row>
    <row r="17">
      <c r="A17" s="24" t="inlineStr">
        <is>
          <t>SCR-W13</t>
        </is>
      </c>
      <c r="B17" s="24" t="inlineStr">
        <is>
          <t>Web</t>
        </is>
      </c>
      <c r="C17" s="25" t="inlineStr">
        <is>
          <t>Customer</t>
        </is>
      </c>
      <c r="D17" s="25" t="inlineStr">
        <is>
          <t>Đặt lịch</t>
        </is>
      </c>
      <c r="E17" s="25" t="inlineStr">
        <is>
          <t>Đặt lịch hẹn</t>
        </is>
      </c>
      <c r="F17" s="25" t="inlineStr">
        <is>
          <t>/booking/new?serviceId= | ?dichVuKhachHangId= | ?buoiChamSocId=</t>
        </is>
      </c>
      <c r="G17" s="24" t="inlineStr">
        <is>
          <t>Đề xuất thêm</t>
        </is>
      </c>
      <c r="H17" s="25" t="inlineStr">
        <is>
          <t>Stepper: ngày → nhân viên &amp; giờ → xác nhận</t>
        </is>
      </c>
      <c r="I17" s="25" t="inlineStr">
        <is>
          <t>—</t>
        </is>
      </c>
      <c r="J17" s="25" t="inlineStr">
        <is>
          <t>Ngày; Nhân viên</t>
        </is>
      </c>
      <c r="K17" s="25" t="inlineStr">
        <is>
          <t>Lưới giờ trống theo nhân viên</t>
        </is>
      </c>
      <c r="L17" s="25" t="inlineStr">
        <is>
          <t>Xác nhận đặt (luồng 1 → thanh toán; luồng 2 → tạo lịch)</t>
        </is>
      </c>
      <c r="M17" s="25" t="inlineStr">
        <is>
          <t>Modal 'giờ vừa hết chỗ'</t>
        </is>
      </c>
      <c r="N17" s="25" t="inlineStr">
        <is>
          <t>UC-SPA-15</t>
        </is>
      </c>
      <c r="O17" s="25" t="inlineStr">
        <is>
          <t>CUS</t>
        </is>
      </c>
      <c r="P17" s="24" t="inlineStr">
        <is>
          <t>Sprint 1</t>
        </is>
      </c>
    </row>
    <row r="18">
      <c r="A18" s="26" t="inlineStr">
        <is>
          <t>SCR-W14</t>
        </is>
      </c>
      <c r="B18" s="26" t="inlineStr">
        <is>
          <t>Web</t>
        </is>
      </c>
      <c r="C18" s="27" t="inlineStr">
        <is>
          <t>Customer</t>
        </is>
      </c>
      <c r="D18" s="27" t="inlineStr">
        <is>
          <t>Lịch hẹn</t>
        </is>
      </c>
      <c r="E18" s="27" t="inlineStr">
        <is>
          <t>Lịch hẹn của tôi</t>
        </is>
      </c>
      <c r="F18" s="27" t="inlineStr">
        <is>
          <t>/my-bookings</t>
        </is>
      </c>
      <c r="G18" s="26" t="inlineStr">
        <is>
          <t>Đã có placeholder</t>
        </is>
      </c>
      <c r="H18" s="27" t="inlineStr">
        <is>
          <t>Danh sách theo tab</t>
        </is>
      </c>
      <c r="I18" s="27" t="inlineStr">
        <is>
          <t>Sắp tới; Đã hoàn thành; Đã hủy</t>
        </is>
      </c>
      <c r="J18" s="27" t="inlineStr">
        <is>
          <t>Khoảng ngày</t>
        </is>
      </c>
      <c r="K18" s="27" t="inlineStr">
        <is>
          <t>Ngày giờ; Dịch vụ; Nhân viên; Trạng thái</t>
        </is>
      </c>
      <c r="L18" s="27" t="inlineStr">
        <is>
          <t>Xem; Đổi lịch; Hủy</t>
        </is>
      </c>
      <c r="M18" s="27" t="inlineStr">
        <is>
          <t>Modal hủy (lý do)</t>
        </is>
      </c>
      <c r="N18" s="27" t="inlineStr">
        <is>
          <t>UC-SPA-16</t>
        </is>
      </c>
      <c r="O18" s="27" t="inlineStr">
        <is>
          <t>CUS</t>
        </is>
      </c>
      <c r="P18" s="26" t="inlineStr">
        <is>
          <t>Sprint 2</t>
        </is>
      </c>
    </row>
    <row r="19">
      <c r="A19" s="24" t="inlineStr">
        <is>
          <t>SCR-W15</t>
        </is>
      </c>
      <c r="B19" s="24" t="inlineStr">
        <is>
          <t>Web</t>
        </is>
      </c>
      <c r="C19" s="25" t="inlineStr">
        <is>
          <t>Customer</t>
        </is>
      </c>
      <c r="D19" s="25" t="inlineStr">
        <is>
          <t>Lịch hẹn</t>
        </is>
      </c>
      <c r="E19" s="25" t="inlineStr">
        <is>
          <t>Chi tiết lịch hẹn</t>
        </is>
      </c>
      <c r="F19" s="25" t="inlineStr">
        <is>
          <t>/my-bookings/:bookingId</t>
        </is>
      </c>
      <c r="G19" s="24" t="inlineStr">
        <is>
          <t>Đã có placeholder</t>
        </is>
      </c>
      <c r="H19" s="25" t="inlineStr">
        <is>
          <t>Chi tiết</t>
        </is>
      </c>
      <c r="I19" s="25" t="inlineStr">
        <is>
          <t>—</t>
        </is>
      </c>
      <c r="J19" s="25" t="inlineStr">
        <is>
          <t>—</t>
        </is>
      </c>
      <c r="K19" s="25" t="inlineStr">
        <is>
          <t>Dịch vụ/buổi; Nhân viên; Trạng thái; Giữ chỗ đến</t>
        </is>
      </c>
      <c r="L19" s="25" t="inlineStr">
        <is>
          <t>Đổi lịch; Hủy; Thanh toán (nếu giữ chỗ)</t>
        </is>
      </c>
      <c r="M19" s="25" t="inlineStr">
        <is>
          <t>Modal đổi lịch</t>
        </is>
      </c>
      <c r="N19" s="25" t="inlineStr">
        <is>
          <t>UC-SPA-16</t>
        </is>
      </c>
      <c r="O19" s="25" t="inlineStr">
        <is>
          <t>CUS</t>
        </is>
      </c>
      <c r="P19" s="24" t="inlineStr">
        <is>
          <t>Sprint 2</t>
        </is>
      </c>
    </row>
    <row r="20">
      <c r="A20" s="26" t="inlineStr">
        <is>
          <t>SCR-W16</t>
        </is>
      </c>
      <c r="B20" s="26" t="inlineStr">
        <is>
          <t>Web</t>
        </is>
      </c>
      <c r="C20" s="27" t="inlineStr">
        <is>
          <t>Customer</t>
        </is>
      </c>
      <c r="D20" s="27" t="inlineStr">
        <is>
          <t>Đã mua</t>
        </is>
      </c>
      <c r="E20" s="27" t="inlineStr">
        <is>
          <t>Dịch vụ và gói của tôi</t>
        </is>
      </c>
      <c r="F20" s="27" t="inlineStr">
        <is>
          <t>/my-packages</t>
        </is>
      </c>
      <c r="G20" s="26" t="inlineStr">
        <is>
          <t>Đã có placeholder</t>
        </is>
      </c>
      <c r="H20" s="27" t="inlineStr">
        <is>
          <t>Thẻ + tiến độ</t>
        </is>
      </c>
      <c r="I20" s="27" t="inlineStr">
        <is>
          <t>Dịch vụ lẻ; Gói dịch vụ</t>
        </is>
      </c>
      <c r="J20" s="27" t="inlineStr">
        <is>
          <t>Trạng thái</t>
        </is>
      </c>
      <c r="K20" s="27" t="inlineStr">
        <is>
          <t>Tên; Hạn sử dụng; Trạng thái; Đã dùng/Tổng buổi</t>
        </is>
      </c>
      <c r="L20" s="27" t="inlineStr">
        <is>
          <t>Đặt lịch; Xem liệu trình; Xem đơn nguồn</t>
        </is>
      </c>
      <c r="M20" s="27" t="inlineStr">
        <is>
          <t>—</t>
        </is>
      </c>
      <c r="N20" s="27" t="inlineStr">
        <is>
          <t>UC-SPA-18</t>
        </is>
      </c>
      <c r="O20" s="27" t="inlineStr">
        <is>
          <t>CUS</t>
        </is>
      </c>
      <c r="P20" s="26" t="inlineStr">
        <is>
          <t>Sprint 2</t>
        </is>
      </c>
    </row>
    <row r="21">
      <c r="A21" s="24" t="inlineStr">
        <is>
          <t>SCR-W17</t>
        </is>
      </c>
      <c r="B21" s="24" t="inlineStr">
        <is>
          <t>Web</t>
        </is>
      </c>
      <c r="C21" s="25" t="inlineStr">
        <is>
          <t>Customer</t>
        </is>
      </c>
      <c r="D21" s="25" t="inlineStr">
        <is>
          <t>Liệu trình</t>
        </is>
      </c>
      <c r="E21" s="25" t="inlineStr">
        <is>
          <t>Theo dõi liệu trình</t>
        </is>
      </c>
      <c r="F21" s="25" t="inlineStr">
        <is>
          <t>/my-treatment-plans, /my-treatment-plans/:id</t>
        </is>
      </c>
      <c r="G21" s="24" t="inlineStr">
        <is>
          <t>Đã có placeholder</t>
        </is>
      </c>
      <c r="H21" s="25" t="inlineStr">
        <is>
          <t>Danh sách + timeline buổi</t>
        </is>
      </c>
      <c r="I21" s="25" t="inlineStr">
        <is>
          <t>—</t>
        </is>
      </c>
      <c r="J21" s="25" t="inlineStr">
        <is>
          <t>—</t>
        </is>
      </c>
      <c r="K21" s="25" t="inlineStr">
        <is>
          <t>Mục tiêu; Tiến độ; Buổi theo ThuTu + trạng thái</t>
        </is>
      </c>
      <c r="L21" s="25" t="inlineStr">
        <is>
          <t>Đặt lịch buổi đủ điều kiện</t>
        </is>
      </c>
      <c r="M21" s="25" t="inlineStr">
        <is>
          <t>Drawer chi tiết buổi</t>
        </is>
      </c>
      <c r="N21" s="25" t="inlineStr">
        <is>
          <t>UC-SPA-19</t>
        </is>
      </c>
      <c r="O21" s="25" t="inlineStr">
        <is>
          <t>CUS</t>
        </is>
      </c>
      <c r="P21" s="24" t="inlineStr">
        <is>
          <t>Sprint 2</t>
        </is>
      </c>
    </row>
    <row r="22">
      <c r="A22" s="26" t="inlineStr">
        <is>
          <t>SCR-W18</t>
        </is>
      </c>
      <c r="B22" s="26" t="inlineStr">
        <is>
          <t>Web</t>
        </is>
      </c>
      <c r="C22" s="27" t="inlineStr">
        <is>
          <t>Customer</t>
        </is>
      </c>
      <c r="D22" s="27" t="inlineStr">
        <is>
          <t>Lịch sử</t>
        </is>
      </c>
      <c r="E22" s="27" t="inlineStr">
        <is>
          <t>Lịch sử sử dụng dịch vụ</t>
        </is>
      </c>
      <c r="F22" s="27" t="inlineStr">
        <is>
          <t>/my-history</t>
        </is>
      </c>
      <c r="G22" s="26" t="inlineStr">
        <is>
          <t>Đề xuất thêm</t>
        </is>
      </c>
      <c r="H22" s="27" t="inlineStr">
        <is>
          <t>Danh sách + chi tiết</t>
        </is>
      </c>
      <c r="I22" s="27" t="inlineStr">
        <is>
          <t>—</t>
        </is>
      </c>
      <c r="J22" s="27" t="inlineStr">
        <is>
          <t>Khoảng ngày; Dịch vụ</t>
        </is>
      </c>
      <c r="K22" s="27" t="inlineStr">
        <is>
          <t>Ngày; Dịch vụ; Nhân viên; Kết quả</t>
        </is>
      </c>
      <c r="L22" s="27" t="inlineStr">
        <is>
          <t>Xem chi tiết; Đánh giá</t>
        </is>
      </c>
      <c r="M22" s="27" t="inlineStr">
        <is>
          <t>Drawer chi tiết</t>
        </is>
      </c>
      <c r="N22" s="27" t="inlineStr">
        <is>
          <t>UC-SPA-20</t>
        </is>
      </c>
      <c r="O22" s="27" t="inlineStr">
        <is>
          <t>CUS</t>
        </is>
      </c>
      <c r="P22" s="26" t="inlineStr">
        <is>
          <t>Sprint 2</t>
        </is>
      </c>
    </row>
    <row r="23">
      <c r="A23" s="24" t="inlineStr">
        <is>
          <t>SCR-W19</t>
        </is>
      </c>
      <c r="B23" s="24" t="inlineStr">
        <is>
          <t>Web</t>
        </is>
      </c>
      <c r="C23" s="25" t="inlineStr">
        <is>
          <t>Customer</t>
        </is>
      </c>
      <c r="D23" s="25" t="inlineStr">
        <is>
          <t>Đơn hàng</t>
        </is>
      </c>
      <c r="E23" s="25" t="inlineStr">
        <is>
          <t>Đơn hàng của tôi</t>
        </is>
      </c>
      <c r="F23" s="25" t="inlineStr">
        <is>
          <t>/my-orders, /my-orders/:orderId</t>
        </is>
      </c>
      <c r="G23" s="24" t="inlineStr">
        <is>
          <t>Đề xuất thêm</t>
        </is>
      </c>
      <c r="H23" s="25" t="inlineStr">
        <is>
          <t>Danh sách + chi tiết</t>
        </is>
      </c>
      <c r="I23" s="25" t="inlineStr">
        <is>
          <t>Chờ thanh toán; Đã thanh toán; Đã hủy</t>
        </is>
      </c>
      <c r="J23" s="25" t="inlineStr">
        <is>
          <t>Khoảng ngày</t>
        </is>
      </c>
      <c r="K23" s="25" t="inlineStr">
        <is>
          <t>Mã đơn; Ngày; Tổng thanh toán; Trạng thái</t>
        </is>
      </c>
      <c r="L23" s="25" t="inlineStr">
        <is>
          <t>Thanh toán lại; Hủy đơn</t>
        </is>
      </c>
      <c r="M23" s="25" t="inlineStr">
        <is>
          <t>Modal xác nhận hủy</t>
        </is>
      </c>
      <c r="N23" s="25" t="inlineStr">
        <is>
          <t>UC-SPA-12</t>
        </is>
      </c>
      <c r="O23" s="25" t="inlineStr">
        <is>
          <t>CUS</t>
        </is>
      </c>
      <c r="P23" s="24" t="inlineStr">
        <is>
          <t>Sprint 2</t>
        </is>
      </c>
    </row>
    <row r="24">
      <c r="A24" s="26" t="inlineStr">
        <is>
          <t>SCR-W20</t>
        </is>
      </c>
      <c r="B24" s="26" t="inlineStr">
        <is>
          <t>Web</t>
        </is>
      </c>
      <c r="C24" s="27" t="inlineStr">
        <is>
          <t>Customer</t>
        </is>
      </c>
      <c r="D24" s="27" t="inlineStr">
        <is>
          <t>Đánh giá</t>
        </is>
      </c>
      <c r="E24" s="27" t="inlineStr">
        <is>
          <t>Đánh giá của tôi</t>
        </is>
      </c>
      <c r="F24" s="27" t="inlineStr">
        <is>
          <t>/my-reviews</t>
        </is>
      </c>
      <c r="G24" s="26" t="inlineStr">
        <is>
          <t>Đã có placeholder</t>
        </is>
      </c>
      <c r="H24" s="27" t="inlineStr">
        <is>
          <t>Danh sách + form</t>
        </is>
      </c>
      <c r="I24" s="27" t="inlineStr">
        <is>
          <t>Có thể đánh giá; Đã đánh giá</t>
        </is>
      </c>
      <c r="J24" s="27" t="inlineStr">
        <is>
          <t>—</t>
        </is>
      </c>
      <c r="K24" s="27" t="inlineStr">
        <is>
          <t>Sản phẩm; ★; Nội dung; Ảnh; Phản hồi spa</t>
        </is>
      </c>
      <c r="L24" s="27" t="inlineStr">
        <is>
          <t>Đánh giá (kèm ảnh)</t>
        </is>
      </c>
      <c r="M24" s="27" t="inlineStr">
        <is>
          <t>Modal đánh giá</t>
        </is>
      </c>
      <c r="N24" s="27" t="inlineStr">
        <is>
          <t>UC-SPA-30</t>
        </is>
      </c>
      <c r="O24" s="27" t="inlineStr">
        <is>
          <t>CUS</t>
        </is>
      </c>
      <c r="P24" s="26" t="inlineStr">
        <is>
          <t>Sprint 2</t>
        </is>
      </c>
    </row>
    <row r="25">
      <c r="A25" s="24" t="inlineStr">
        <is>
          <t>SCR-W21</t>
        </is>
      </c>
      <c r="B25" s="24" t="inlineStr">
        <is>
          <t>Web</t>
        </is>
      </c>
      <c r="C25" s="25" t="inlineStr">
        <is>
          <t>Customer</t>
        </is>
      </c>
      <c r="D25" s="25" t="inlineStr">
        <is>
          <t>Trợ lý AI</t>
        </is>
      </c>
      <c r="E25" s="25" t="inlineStr">
        <is>
          <t>Trợ lý AI</t>
        </is>
      </c>
      <c r="F25" s="25" t="inlineStr">
        <is>
          <t>/ai-assistant</t>
        </is>
      </c>
      <c r="G25" s="24" t="inlineStr">
        <is>
          <t>Đã có placeholder</t>
        </is>
      </c>
      <c r="H25" s="25" t="inlineStr">
        <is>
          <t>Khung chat + thẻ gợi ý</t>
        </is>
      </c>
      <c r="I25" s="25" t="inlineStr">
        <is>
          <t>—</t>
        </is>
      </c>
      <c r="J25" s="25" t="inlineStr">
        <is>
          <t>—</t>
        </is>
      </c>
      <c r="K25" s="25" t="inlineStr">
        <is>
          <t>Lịch sử hỏi – đáp; Sản phẩm gợi ý</t>
        </is>
      </c>
      <c r="L25" s="25" t="inlineStr">
        <is>
          <t>Gửi; Mở sản phẩm gợi ý</t>
        </is>
      </c>
      <c r="M25" s="25" t="inlineStr">
        <is>
          <t>Lưu ý không chẩn đoán y khoa</t>
        </is>
      </c>
      <c r="N25" s="25" t="inlineStr">
        <is>
          <t>UC-SPA-32</t>
        </is>
      </c>
      <c r="O25" s="25" t="inlineStr">
        <is>
          <t>GUEST, CUS</t>
        </is>
      </c>
      <c r="P25" s="24" t="inlineStr">
        <is>
          <t>Sprint 3</t>
        </is>
      </c>
    </row>
    <row r="26">
      <c r="A26" s="26" t="inlineStr">
        <is>
          <t>SCR-W22</t>
        </is>
      </c>
      <c r="B26" s="26" t="inlineStr">
        <is>
          <t>Web</t>
        </is>
      </c>
      <c r="C26" s="27" t="inlineStr">
        <is>
          <t>Customer / Staff / Owner</t>
        </is>
      </c>
      <c r="D26" s="27" t="inlineStr">
        <is>
          <t>Tài khoản</t>
        </is>
      </c>
      <c r="E26" s="27" t="inlineStr">
        <is>
          <t>Thông tin tài khoản</t>
        </is>
      </c>
      <c r="F26" s="27" t="inlineStr">
        <is>
          <t>/account (staff, owner: dùng chung)</t>
        </is>
      </c>
      <c r="G26" s="26" t="inlineStr">
        <is>
          <t>Đã có placeholder</t>
        </is>
      </c>
      <c r="H26" s="27" t="inlineStr">
        <is>
          <t>Form</t>
        </is>
      </c>
      <c r="I26" s="27" t="inlineStr">
        <is>
          <t>Thông tin; Đổi mật khẩu</t>
        </is>
      </c>
      <c r="J26" s="27" t="inlineStr">
        <is>
          <t>—</t>
        </is>
      </c>
      <c r="K26" s="27" t="inlineStr">
        <is>
          <t>—</t>
        </is>
      </c>
      <c r="L26" s="27" t="inlineStr">
        <is>
          <t>Lưu; Đổi ảnh</t>
        </is>
      </c>
      <c r="M26" s="27" t="inlineStr">
        <is>
          <t>—</t>
        </is>
      </c>
      <c r="N26" s="27" t="inlineStr">
        <is>
          <t>UC-SPA-04</t>
        </is>
      </c>
      <c r="O26" s="27" t="inlineStr">
        <is>
          <t>CUS, STF, OWN</t>
        </is>
      </c>
      <c r="P26" s="26" t="inlineStr">
        <is>
          <t>Sprint 1</t>
        </is>
      </c>
    </row>
    <row r="27">
      <c r="A27" s="24" t="inlineStr">
        <is>
          <t>SCR-W23</t>
        </is>
      </c>
      <c r="B27" s="24" t="inlineStr">
        <is>
          <t>Web</t>
        </is>
      </c>
      <c r="C27" s="25" t="inlineStr">
        <is>
          <t>Customer / Staff</t>
        </is>
      </c>
      <c r="D27" s="25" t="inlineStr">
        <is>
          <t>Thông báo</t>
        </is>
      </c>
      <c r="E27" s="25" t="inlineStr">
        <is>
          <t>Thông báo</t>
        </is>
      </c>
      <c r="F27" s="25" t="inlineStr">
        <is>
          <t>/notifications (+ chuông ở header)</t>
        </is>
      </c>
      <c r="G27" s="24" t="inlineStr">
        <is>
          <t>Đề xuất thêm</t>
        </is>
      </c>
      <c r="H27" s="25" t="inlineStr">
        <is>
          <t>Danh sách</t>
        </is>
      </c>
      <c r="I27" s="25" t="inlineStr">
        <is>
          <t>Tất cả; Chưa đọc</t>
        </is>
      </c>
      <c r="J27" s="25" t="inlineStr">
        <is>
          <t>—</t>
        </is>
      </c>
      <c r="K27" s="25" t="inlineStr">
        <is>
          <t>Tiêu đề; Loại; Thời gian; Đã đọc</t>
        </is>
      </c>
      <c r="L27" s="25" t="inlineStr">
        <is>
          <t>Mở; Đánh dấu đã đọc</t>
        </is>
      </c>
      <c r="M27" s="25" t="inlineStr">
        <is>
          <t>—</t>
        </is>
      </c>
      <c r="N27" s="25" t="inlineStr">
        <is>
          <t>UC-SPA-34</t>
        </is>
      </c>
      <c r="O27" s="25" t="inlineStr">
        <is>
          <t>CUS, STF</t>
        </is>
      </c>
      <c r="P27" s="24" t="inlineStr">
        <is>
          <t>Sprint 3</t>
        </is>
      </c>
    </row>
    <row r="28">
      <c r="A28" s="26" t="inlineStr">
        <is>
          <t>SCR-W24</t>
        </is>
      </c>
      <c r="B28" s="26" t="inlineStr">
        <is>
          <t>Web</t>
        </is>
      </c>
      <c r="C28" s="27" t="inlineStr">
        <is>
          <t>Staff</t>
        </is>
      </c>
      <c r="D28" s="27" t="inlineStr">
        <is>
          <t>Tổng quan</t>
        </is>
      </c>
      <c r="E28" s="27" t="inlineStr">
        <is>
          <t>Tổng quan nhân viên</t>
        </is>
      </c>
      <c r="F28" s="27" t="inlineStr">
        <is>
          <t>/staff</t>
        </is>
      </c>
      <c r="G28" s="26" t="inlineStr">
        <is>
          <t>Đã có placeholder</t>
        </is>
      </c>
      <c r="H28" s="27" t="inlineStr">
        <is>
          <t>Thẻ hôm nay</t>
        </is>
      </c>
      <c r="I28" s="27" t="inlineStr">
        <is>
          <t>—</t>
        </is>
      </c>
      <c r="J28" s="27" t="inlineStr">
        <is>
          <t>—</t>
        </is>
      </c>
      <c r="K28" s="27" t="inlineStr">
        <is>
          <t>Ca hôm nay; Lịch hẹn hôm nay; Chưa lập hồ sơ da</t>
        </is>
      </c>
      <c r="L28" s="27" t="inlineStr">
        <is>
          <t>Mở lịch hẹn</t>
        </is>
      </c>
      <c r="M28" s="27" t="inlineStr">
        <is>
          <t>—</t>
        </is>
      </c>
      <c r="N28" s="27" t="inlineStr">
        <is>
          <t>UC-SPA-24, 25</t>
        </is>
      </c>
      <c r="O28" s="27" t="inlineStr">
        <is>
          <t>STF</t>
        </is>
      </c>
      <c r="P28" s="26" t="inlineStr">
        <is>
          <t>Sprint 2</t>
        </is>
      </c>
    </row>
    <row r="29">
      <c r="A29" s="24" t="inlineStr">
        <is>
          <t>SCR-W25</t>
        </is>
      </c>
      <c r="B29" s="24" t="inlineStr">
        <is>
          <t>Web</t>
        </is>
      </c>
      <c r="C29" s="25" t="inlineStr">
        <is>
          <t>Staff</t>
        </is>
      </c>
      <c r="D29" s="25" t="inlineStr">
        <is>
          <t>Lịch làm việc</t>
        </is>
      </c>
      <c r="E29" s="25" t="inlineStr">
        <is>
          <t>Lịch làm việc cá nhân</t>
        </is>
      </c>
      <c r="F29" s="25" t="inlineStr">
        <is>
          <t>/staff/schedule</t>
        </is>
      </c>
      <c r="G29" s="24" t="inlineStr">
        <is>
          <t>Đã có placeholder</t>
        </is>
      </c>
      <c r="H29" s="25" t="inlineStr">
        <is>
          <t>Lịch tuần/tháng</t>
        </is>
      </c>
      <c r="I29" s="25" t="inlineStr">
        <is>
          <t>—</t>
        </is>
      </c>
      <c r="J29" s="25" t="inlineStr">
        <is>
          <t>Tuần; Tháng</t>
        </is>
      </c>
      <c r="K29" s="25" t="inlineStr">
        <is>
          <t>Ca; Trạng thái</t>
        </is>
      </c>
      <c r="L29" s="25" t="inlineStr">
        <is>
          <t>Xem chi tiết ca</t>
        </is>
      </c>
      <c r="M29" s="25" t="inlineStr">
        <is>
          <t>—</t>
        </is>
      </c>
      <c r="N29" s="25" t="inlineStr">
        <is>
          <t>UC-SPA-24</t>
        </is>
      </c>
      <c r="O29" s="25" t="inlineStr">
        <is>
          <t>STF</t>
        </is>
      </c>
      <c r="P29" s="24" t="inlineStr">
        <is>
          <t>Sprint 2</t>
        </is>
      </c>
    </row>
    <row r="30">
      <c r="A30" s="26" t="inlineStr">
        <is>
          <t>SCR-W26</t>
        </is>
      </c>
      <c r="B30" s="26" t="inlineStr">
        <is>
          <t>Web</t>
        </is>
      </c>
      <c r="C30" s="27" t="inlineStr">
        <is>
          <t>Staff</t>
        </is>
      </c>
      <c r="D30" s="27" t="inlineStr">
        <is>
          <t>Lịch hẹn</t>
        </is>
      </c>
      <c r="E30" s="27" t="inlineStr">
        <is>
          <t>Lịch hẹn được phân công</t>
        </is>
      </c>
      <c r="F30" s="27" t="inlineStr">
        <is>
          <t>/staff/bookings</t>
        </is>
      </c>
      <c r="G30" s="26" t="inlineStr">
        <is>
          <t>Đã có placeholder</t>
        </is>
      </c>
      <c r="H30" s="27" t="inlineStr">
        <is>
          <t>Danh sách</t>
        </is>
      </c>
      <c r="I30" s="27" t="inlineStr">
        <is>
          <t>Hôm nay; Sắp tới; Đã xong</t>
        </is>
      </c>
      <c r="J30" s="27" t="inlineStr">
        <is>
          <t>Ngày; Trạng thái</t>
        </is>
      </c>
      <c r="K30" s="27" t="inlineStr">
        <is>
          <t>Giờ; Khách; Dịch vụ; Buổi x/y; Trạng thái</t>
        </is>
      </c>
      <c r="L30" s="27" t="inlineStr">
        <is>
          <t>Mở chi tiết</t>
        </is>
      </c>
      <c r="M30" s="27" t="inlineStr">
        <is>
          <t>—</t>
        </is>
      </c>
      <c r="N30" s="27" t="inlineStr">
        <is>
          <t>UC-SPA-25</t>
        </is>
      </c>
      <c r="O30" s="27" t="inlineStr">
        <is>
          <t>STF</t>
        </is>
      </c>
      <c r="P30" s="26" t="inlineStr">
        <is>
          <t>Sprint 2</t>
        </is>
      </c>
    </row>
    <row r="31">
      <c r="A31" s="24" t="inlineStr">
        <is>
          <t>SCR-W27</t>
        </is>
      </c>
      <c r="B31" s="24" t="inlineStr">
        <is>
          <t>Web</t>
        </is>
      </c>
      <c r="C31" s="25" t="inlineStr">
        <is>
          <t>Staff</t>
        </is>
      </c>
      <c r="D31" s="25" t="inlineStr">
        <is>
          <t>Lịch hẹn</t>
        </is>
      </c>
      <c r="E31" s="25" t="inlineStr">
        <is>
          <t>Chi tiết buổi chăm sóc</t>
        </is>
      </c>
      <c r="F31" s="25" t="inlineStr">
        <is>
          <t>/staff/bookings/:bookingId</t>
        </is>
      </c>
      <c r="G31" s="24" t="inlineStr">
        <is>
          <t>Đã có placeholder</t>
        </is>
      </c>
      <c r="H31" s="25" t="inlineStr">
        <is>
          <t>Chi tiết + form</t>
        </is>
      </c>
      <c r="I31" s="25" t="inlineStr">
        <is>
          <t>Thông tin khách &amp; dị ứng; Hồ sơ da; Kết quả buổi</t>
        </is>
      </c>
      <c r="J31" s="25" t="inlineStr">
        <is>
          <t>—</t>
        </is>
      </c>
      <c r="K31" s="25" t="inlineStr">
        <is>
          <t>Dịch vụ; Liệu trình; Dị ứng (nổi bật)</t>
        </is>
      </c>
      <c r="L31" s="25" t="inlineStr">
        <is>
          <t>Lập/cập nhật hồ sơ da; Xác nhận hoàn thành</t>
        </is>
      </c>
      <c r="M31" s="25" t="inlineStr">
        <is>
          <t>Modal xác nhận hoàn thành</t>
        </is>
      </c>
      <c r="N31" s="25" t="inlineStr">
        <is>
          <t>UC-SPA-25, 27, 28</t>
        </is>
      </c>
      <c r="O31" s="25" t="inlineStr">
        <is>
          <t>STF</t>
        </is>
      </c>
      <c r="P31" s="24" t="inlineStr">
        <is>
          <t>Sprint 2</t>
        </is>
      </c>
    </row>
    <row r="32">
      <c r="A32" s="26" t="inlineStr">
        <is>
          <t>SCR-W28</t>
        </is>
      </c>
      <c r="B32" s="26" t="inlineStr">
        <is>
          <t>Web</t>
        </is>
      </c>
      <c r="C32" s="27" t="inlineStr">
        <is>
          <t>Staff</t>
        </is>
      </c>
      <c r="D32" s="27" t="inlineStr">
        <is>
          <t>Lịch sử</t>
        </is>
      </c>
      <c r="E32" s="27" t="inlineStr">
        <is>
          <t>Lịch sử khách đã chăm sóc</t>
        </is>
      </c>
      <c r="F32" s="27" t="inlineStr">
        <is>
          <t>/staff/care-history</t>
        </is>
      </c>
      <c r="G32" s="26" t="inlineStr">
        <is>
          <t>Đề xuất thêm</t>
        </is>
      </c>
      <c r="H32" s="27" t="inlineStr">
        <is>
          <t>Danh sách + chi tiết</t>
        </is>
      </c>
      <c r="I32" s="27" t="inlineStr">
        <is>
          <t>—</t>
        </is>
      </c>
      <c r="J32" s="27" t="inlineStr">
        <is>
          <t>Tên/SĐT khách; Khoảng ngày</t>
        </is>
      </c>
      <c r="K32" s="27" t="inlineStr">
        <is>
          <t>Ngày; Khách; Dịch vụ; Có hồ sơ da</t>
        </is>
      </c>
      <c r="L32" s="27" t="inlineStr">
        <is>
          <t>Xem hồ sơ; Lập/cập nhật hồ sơ da</t>
        </is>
      </c>
      <c r="M32" s="27" t="inlineStr">
        <is>
          <t>Drawer hồ sơ</t>
        </is>
      </c>
      <c r="N32" s="27" t="inlineStr">
        <is>
          <t>UC-SPA-26, 27</t>
        </is>
      </c>
      <c r="O32" s="27" t="inlineStr">
        <is>
          <t>STF</t>
        </is>
      </c>
      <c r="P32" s="26" t="inlineStr">
        <is>
          <t>Sprint 2</t>
        </is>
      </c>
    </row>
    <row r="33">
      <c r="A33" s="24" t="inlineStr">
        <is>
          <t>SCR-W29</t>
        </is>
      </c>
      <c r="B33" s="24" t="inlineStr">
        <is>
          <t>Web</t>
        </is>
      </c>
      <c r="C33" s="25" t="inlineStr">
        <is>
          <t>Staff</t>
        </is>
      </c>
      <c r="D33" s="25" t="inlineStr">
        <is>
          <t>Liệu trình</t>
        </is>
      </c>
      <c r="E33" s="25" t="inlineStr">
        <is>
          <t>Liệu trình phụ trách</t>
        </is>
      </c>
      <c r="F33" s="25" t="inlineStr">
        <is>
          <t>/staff/treatments</t>
        </is>
      </c>
      <c r="G33" s="24" t="inlineStr">
        <is>
          <t>Đề xuất thêm</t>
        </is>
      </c>
      <c r="H33" s="25" t="inlineStr">
        <is>
          <t>Danh sách + chi tiết</t>
        </is>
      </c>
      <c r="I33" s="25" t="inlineStr">
        <is>
          <t>—</t>
        </is>
      </c>
      <c r="J33" s="25" t="inlineStr">
        <is>
          <t>Khách; Trạng thái</t>
        </is>
      </c>
      <c r="K33" s="25" t="inlineStr">
        <is>
          <t>Khách; Gói; Tiến độ; Buổi tiếp theo</t>
        </is>
      </c>
      <c r="L33" s="25" t="inlineStr">
        <is>
          <t>Cập nhật mục tiêu/ghi chú</t>
        </is>
      </c>
      <c r="M33" s="25" t="inlineStr">
        <is>
          <t>Drawer liệu trình</t>
        </is>
      </c>
      <c r="N33" s="25" t="inlineStr">
        <is>
          <t>UC-SPA-21</t>
        </is>
      </c>
      <c r="O33" s="25" t="inlineStr">
        <is>
          <t>STF</t>
        </is>
      </c>
      <c r="P33" s="24" t="inlineStr">
        <is>
          <t>Sprint 2</t>
        </is>
      </c>
    </row>
    <row r="34">
      <c r="A34" s="26" t="inlineStr">
        <is>
          <t>SCR-W30</t>
        </is>
      </c>
      <c r="B34" s="26" t="inlineStr">
        <is>
          <t>Web</t>
        </is>
      </c>
      <c r="C34" s="27" t="inlineStr">
        <is>
          <t>Owner</t>
        </is>
      </c>
      <c r="D34" s="27" t="inlineStr">
        <is>
          <t>Tổng quan</t>
        </is>
      </c>
      <c r="E34" s="27" t="inlineStr">
        <is>
          <t>Tổng quan quản lý</t>
        </is>
      </c>
      <c r="F34" s="27" t="inlineStr">
        <is>
          <t>/owner</t>
        </is>
      </c>
      <c r="G34" s="26" t="inlineStr">
        <is>
          <t>Đã có placeholder</t>
        </is>
      </c>
      <c r="H34" s="27" t="inlineStr">
        <is>
          <t>KPI + biểu đồ</t>
        </is>
      </c>
      <c r="I34" s="27" t="inlineStr">
        <is>
          <t>—</t>
        </is>
      </c>
      <c r="J34" s="27" t="inlineStr">
        <is>
          <t>Kỳ</t>
        </is>
      </c>
      <c r="K34" s="27" t="inlineStr">
        <is>
          <t>Doanh thu; Số đơn; Số lịch hẹn</t>
        </is>
      </c>
      <c r="L34" s="27" t="inlineStr">
        <is>
          <t>Mở báo cáo</t>
        </is>
      </c>
      <c r="M34" s="27" t="inlineStr">
        <is>
          <t>—</t>
        </is>
      </c>
      <c r="N34" s="27" t="inlineStr">
        <is>
          <t>UC-SPA-33</t>
        </is>
      </c>
      <c r="O34" s="27" t="inlineStr">
        <is>
          <t>OWN</t>
        </is>
      </c>
      <c r="P34" s="26" t="inlineStr">
        <is>
          <t>Sprint 3</t>
        </is>
      </c>
    </row>
    <row r="35">
      <c r="A35" s="24" t="inlineStr">
        <is>
          <t>SCR-W31</t>
        </is>
      </c>
      <c r="B35" s="24" t="inlineStr">
        <is>
          <t>Web</t>
        </is>
      </c>
      <c r="C35" s="25" t="inlineStr">
        <is>
          <t>Owner</t>
        </is>
      </c>
      <c r="D35" s="25" t="inlineStr">
        <is>
          <t>Dịch vụ</t>
        </is>
      </c>
      <c r="E35" s="25" t="inlineStr">
        <is>
          <t>Quản lý dịch vụ</t>
        </is>
      </c>
      <c r="F35" s="25" t="inlineStr">
        <is>
          <t>/owner/services</t>
        </is>
      </c>
      <c r="G35" s="24" t="inlineStr">
        <is>
          <t>Đã có placeholder</t>
        </is>
      </c>
      <c r="H35" s="25" t="inlineStr">
        <is>
          <t>Data grid + form</t>
        </is>
      </c>
      <c r="I35" s="25" t="inlineStr">
        <is>
          <t>—</t>
        </is>
      </c>
      <c r="J35" s="25" t="inlineStr">
        <is>
          <t>Từ khóa; Loại; Trạng thái</t>
        </is>
      </c>
      <c r="K35" s="25" t="inlineStr">
        <is>
          <t>Ảnh; Tên; Loại; Thời lượng; Giá; Trạng thái</t>
        </is>
      </c>
      <c r="L35" s="25" t="inlineStr">
        <is>
          <t>Thêm; Sửa; Ngừng bán</t>
        </is>
      </c>
      <c r="M35" s="25" t="inlineStr">
        <is>
          <t>Drawer form dịch vụ</t>
        </is>
      </c>
      <c r="N35" s="25" t="inlineStr">
        <is>
          <t>UC-SPA-09</t>
        </is>
      </c>
      <c r="O35" s="25" t="inlineStr">
        <is>
          <t>OWN</t>
        </is>
      </c>
      <c r="P35" s="24" t="inlineStr">
        <is>
          <t>Sprint 1</t>
        </is>
      </c>
    </row>
    <row r="36">
      <c r="A36" s="26" t="inlineStr">
        <is>
          <t>SCR-W32</t>
        </is>
      </c>
      <c r="B36" s="26" t="inlineStr">
        <is>
          <t>Web</t>
        </is>
      </c>
      <c r="C36" s="27" t="inlineStr">
        <is>
          <t>Owner</t>
        </is>
      </c>
      <c r="D36" s="27" t="inlineStr">
        <is>
          <t>Gói dịch vụ</t>
        </is>
      </c>
      <c r="E36" s="27" t="inlineStr">
        <is>
          <t>Quản lý gói dịch vụ</t>
        </is>
      </c>
      <c r="F36" s="27" t="inlineStr">
        <is>
          <t>/owner/packages</t>
        </is>
      </c>
      <c r="G36" s="26" t="inlineStr">
        <is>
          <t>Đã có placeholder</t>
        </is>
      </c>
      <c r="H36" s="27" t="inlineStr">
        <is>
          <t>Data grid + form có dòng chi tiết</t>
        </is>
      </c>
      <c r="I36" s="27" t="inlineStr">
        <is>
          <t>—</t>
        </is>
      </c>
      <c r="J36" s="27" t="inlineStr">
        <is>
          <t>Từ khóa; Trạng thái</t>
        </is>
      </c>
      <c r="K36" s="27" t="inlineStr">
        <is>
          <t>Tên; Tổng buổi; Thời hạn; Giá; Thời gian bán; Trạng thái</t>
        </is>
      </c>
      <c r="L36" s="27" t="inlineStr">
        <is>
          <t>Thêm; Sửa; Ngừng bán</t>
        </is>
      </c>
      <c r="M36" s="27" t="inlineStr">
        <is>
          <t>Drawer form gói (dịch vụ thành phần, số buổi, thứ tự, khoảng cách)</t>
        </is>
      </c>
      <c r="N36" s="27" t="inlineStr">
        <is>
          <t>UC-SPA-09</t>
        </is>
      </c>
      <c r="O36" s="27" t="inlineStr">
        <is>
          <t>OWN</t>
        </is>
      </c>
      <c r="P36" s="26" t="inlineStr">
        <is>
          <t>Sprint 1</t>
        </is>
      </c>
    </row>
    <row r="37">
      <c r="A37" s="24" t="inlineStr">
        <is>
          <t>SCR-W33</t>
        </is>
      </c>
      <c r="B37" s="24" t="inlineStr">
        <is>
          <t>Web</t>
        </is>
      </c>
      <c r="C37" s="25" t="inlineStr">
        <is>
          <t>Owner</t>
        </is>
      </c>
      <c r="D37" s="25" t="inlineStr">
        <is>
          <t>Nhân viên</t>
        </is>
      </c>
      <c r="E37" s="25" t="inlineStr">
        <is>
          <t>Nhân viên &amp; lịch làm việc</t>
        </is>
      </c>
      <c r="F37" s="25" t="inlineStr">
        <is>
          <t>/owner/staff</t>
        </is>
      </c>
      <c r="G37" s="24" t="inlineStr">
        <is>
          <t>Đã có placeholder</t>
        </is>
      </c>
      <c r="H37" s="25" t="inlineStr">
        <is>
          <t>Data grid + lịch tuần</t>
        </is>
      </c>
      <c r="I37" s="25" t="inlineStr">
        <is>
          <t>Danh sách nhân viên; Lịch làm việc</t>
        </is>
      </c>
      <c r="J37" s="25" t="inlineStr">
        <is>
          <t>Trạng thái; Tuần; Nhân viên</t>
        </is>
      </c>
      <c r="K37" s="25" t="inlineStr">
        <is>
          <t>Tên; SĐT; Chuyên môn; Dịch vụ; Ngày vào làm; Trạng thái | Lưới ca</t>
        </is>
      </c>
      <c r="L37" s="25" t="inlineStr">
        <is>
          <t>Thêm; Sửa; Nghỉ việc; Thêm/sửa ca</t>
        </is>
      </c>
      <c r="M37" s="25" t="inlineStr">
        <is>
          <t>Drawer nhân viên; Modal ca</t>
        </is>
      </c>
      <c r="N37" s="25" t="inlineStr">
        <is>
          <t>UC-SPA-22, 23</t>
        </is>
      </c>
      <c r="O37" s="25" t="inlineStr">
        <is>
          <t>OWN</t>
        </is>
      </c>
      <c r="P37" s="24" t="inlineStr">
        <is>
          <t>Sprint 1</t>
        </is>
      </c>
    </row>
    <row r="38">
      <c r="A38" s="26" t="inlineStr">
        <is>
          <t>SCR-W34</t>
        </is>
      </c>
      <c r="B38" s="26" t="inlineStr">
        <is>
          <t>Web</t>
        </is>
      </c>
      <c r="C38" s="27" t="inlineStr">
        <is>
          <t>Owner</t>
        </is>
      </c>
      <c r="D38" s="27" t="inlineStr">
        <is>
          <t>Lịch hẹn</t>
        </is>
      </c>
      <c r="E38" s="27" t="inlineStr">
        <is>
          <t>Quản lý lịch hẹn</t>
        </is>
      </c>
      <c r="F38" s="27" t="inlineStr">
        <is>
          <t>/owner/bookings</t>
        </is>
      </c>
      <c r="G38" s="26" t="inlineStr">
        <is>
          <t>Đã có placeholder</t>
        </is>
      </c>
      <c r="H38" s="27" t="inlineStr">
        <is>
          <t>Lịch ngày/tuần theo nhân viên + danh sách</t>
        </is>
      </c>
      <c r="I38" s="27" t="inlineStr">
        <is>
          <t>Lịch; Danh sách</t>
        </is>
      </c>
      <c r="J38" s="27" t="inlineStr">
        <is>
          <t>Ngày; Nhân viên; Trạng thái; Khách</t>
        </is>
      </c>
      <c r="K38" s="27" t="inlineStr">
        <is>
          <t>Giờ; Khách; Dịch vụ; Nhân viên; Trạng thái</t>
        </is>
      </c>
      <c r="L38" s="27" t="inlineStr">
        <is>
          <t>Xác nhận; Đổi giờ; Đổi nhân viên; Hủy; Khách không đến</t>
        </is>
      </c>
      <c r="M38" s="27" t="inlineStr">
        <is>
          <t>Drawer chi tiết lịch</t>
        </is>
      </c>
      <c r="N38" s="27" t="inlineStr">
        <is>
          <t>UC-SPA-17</t>
        </is>
      </c>
      <c r="O38" s="27" t="inlineStr">
        <is>
          <t>OWN</t>
        </is>
      </c>
      <c r="P38" s="26" t="inlineStr">
        <is>
          <t>Sprint 1</t>
        </is>
      </c>
    </row>
    <row r="39">
      <c r="A39" s="24" t="inlineStr">
        <is>
          <t>SCR-W35</t>
        </is>
      </c>
      <c r="B39" s="24" t="inlineStr">
        <is>
          <t>Web</t>
        </is>
      </c>
      <c r="C39" s="25" t="inlineStr">
        <is>
          <t>Owner</t>
        </is>
      </c>
      <c r="D39" s="25" t="inlineStr">
        <is>
          <t>Khuyến mãi</t>
        </is>
      </c>
      <c r="E39" s="25" t="inlineStr">
        <is>
          <t>Quản lý khuyến mãi</t>
        </is>
      </c>
      <c r="F39" s="25" t="inlineStr">
        <is>
          <t>/owner/promotions</t>
        </is>
      </c>
      <c r="G39" s="24" t="inlineStr">
        <is>
          <t>Đã có placeholder</t>
        </is>
      </c>
      <c r="H39" s="25" t="inlineStr">
        <is>
          <t>Data grid + form</t>
        </is>
      </c>
      <c r="I39" s="25" t="inlineStr">
        <is>
          <t>—</t>
        </is>
      </c>
      <c r="J39" s="25" t="inlineStr">
        <is>
          <t>Trạng thái; Khoảng ngày</t>
        </is>
      </c>
      <c r="K39" s="25" t="inlineStr">
        <is>
          <t>Mã; Loại; Giá trị; Thời gian; Đã dùng/Số lượng; Trạng thái</t>
        </is>
      </c>
      <c r="L39" s="25" t="inlineStr">
        <is>
          <t>Thêm; Sửa; Ngừng</t>
        </is>
      </c>
      <c r="M39" s="25" t="inlineStr">
        <is>
          <t>Drawer form</t>
        </is>
      </c>
      <c r="N39" s="25" t="inlineStr">
        <is>
          <t>UC-SPA-14</t>
        </is>
      </c>
      <c r="O39" s="25" t="inlineStr">
        <is>
          <t>OWN</t>
        </is>
      </c>
      <c r="P39" s="24" t="inlineStr">
        <is>
          <t>Sprint 2</t>
        </is>
      </c>
    </row>
    <row r="40">
      <c r="A40" s="26" t="inlineStr">
        <is>
          <t>SCR-W36</t>
        </is>
      </c>
      <c r="B40" s="26" t="inlineStr">
        <is>
          <t>Web</t>
        </is>
      </c>
      <c r="C40" s="27" t="inlineStr">
        <is>
          <t>Owner</t>
        </is>
      </c>
      <c r="D40" s="27" t="inlineStr">
        <is>
          <t>Liệu trình</t>
        </is>
      </c>
      <c r="E40" s="27" t="inlineStr">
        <is>
          <t>Quản lý liệu trình</t>
        </is>
      </c>
      <c r="F40" s="27" t="inlineStr">
        <is>
          <t>/owner/treatments</t>
        </is>
      </c>
      <c r="G40" s="26" t="inlineStr">
        <is>
          <t>Đã có placeholder</t>
        </is>
      </c>
      <c r="H40" s="27" t="inlineStr">
        <is>
          <t>Data grid + chi tiết</t>
        </is>
      </c>
      <c r="I40" s="27" t="inlineStr">
        <is>
          <t>—</t>
        </is>
      </c>
      <c r="J40" s="27" t="inlineStr">
        <is>
          <t>Khách; Trạng thái; Nhân viên phụ trách</t>
        </is>
      </c>
      <c r="K40" s="27" t="inlineStr">
        <is>
          <t>Khách; Gói; Tiến độ; Hạn dùng; Nhân viên phụ trách</t>
        </is>
      </c>
      <c r="L40" s="27" t="inlineStr">
        <is>
          <t>Cập nhật; Đổi nhân viên phụ trách; Tạm dừng/Hủy</t>
        </is>
      </c>
      <c r="M40" s="27" t="inlineStr">
        <is>
          <t>Drawer liệu trình + lịch sử chăm sóc</t>
        </is>
      </c>
      <c r="N40" s="27" t="inlineStr">
        <is>
          <t>UC-SPA-21</t>
        </is>
      </c>
      <c r="O40" s="27" t="inlineStr">
        <is>
          <t>OWN</t>
        </is>
      </c>
      <c r="P40" s="26" t="inlineStr">
        <is>
          <t>Sprint 2</t>
        </is>
      </c>
    </row>
    <row r="41">
      <c r="A41" s="24" t="inlineStr">
        <is>
          <t>SCR-W37</t>
        </is>
      </c>
      <c r="B41" s="24" t="inlineStr">
        <is>
          <t>Web</t>
        </is>
      </c>
      <c r="C41" s="25" t="inlineStr">
        <is>
          <t>Owner</t>
        </is>
      </c>
      <c r="D41" s="25" t="inlineStr">
        <is>
          <t>Đơn hàng</t>
        </is>
      </c>
      <c r="E41" s="25" t="inlineStr">
        <is>
          <t>Quản lý đơn hàng</t>
        </is>
      </c>
      <c r="F41" s="25" t="inlineStr">
        <is>
          <t>/owner/orders (repo hiện là /owner/payments)</t>
        </is>
      </c>
      <c r="G41" s="24" t="inlineStr">
        <is>
          <t>Có, cần đổi tên</t>
        </is>
      </c>
      <c r="H41" s="25" t="inlineStr">
        <is>
          <t>Data grid + chi tiết</t>
        </is>
      </c>
      <c r="I41" s="25" t="inlineStr">
        <is>
          <t>—</t>
        </is>
      </c>
      <c r="J41" s="25" t="inlineStr">
        <is>
          <t>Mã đơn; Khách; Trạng thái; Khoảng ngày</t>
        </is>
      </c>
      <c r="K41" s="25" t="inlineStr">
        <is>
          <t>Mã đơn; Khách; Tổng thanh toán; Trạng thái; Lần thanh toán</t>
        </is>
      </c>
      <c r="L41" s="25" t="inlineStr">
        <is>
          <t>Xem chi tiết; Hủy đơn chưa thanh toán</t>
        </is>
      </c>
      <c r="M41" s="25" t="inlineStr">
        <is>
          <t>Modal xác nhận hủy</t>
        </is>
      </c>
      <c r="N41" s="25" t="inlineStr">
        <is>
          <t>UC-SPA-13</t>
        </is>
      </c>
      <c r="O41" s="25" t="inlineStr">
        <is>
          <t>OWN</t>
        </is>
      </c>
      <c r="P41" s="24" t="inlineStr">
        <is>
          <t>Sprint 2</t>
        </is>
      </c>
    </row>
    <row r="42">
      <c r="A42" s="26" t="inlineStr">
        <is>
          <t>SCR-W38</t>
        </is>
      </c>
      <c r="B42" s="26" t="inlineStr">
        <is>
          <t>Web</t>
        </is>
      </c>
      <c r="C42" s="27" t="inlineStr">
        <is>
          <t>Owner</t>
        </is>
      </c>
      <c r="D42" s="27" t="inlineStr">
        <is>
          <t>Báo cáo</t>
        </is>
      </c>
      <c r="E42" s="27" t="inlineStr">
        <is>
          <t>Thống kê báo cáo doanh thu</t>
        </is>
      </c>
      <c r="F42" s="27" t="inlineStr">
        <is>
          <t>/owner/reports</t>
        </is>
      </c>
      <c r="G42" s="26" t="inlineStr">
        <is>
          <t>Đã có placeholder</t>
        </is>
      </c>
      <c r="H42" s="27" t="inlineStr">
        <is>
          <t>Bộ lọc + biểu đồ + bảng</t>
        </is>
      </c>
      <c r="I42" s="27" t="inlineStr">
        <is>
          <t>—</t>
        </is>
      </c>
      <c r="J42" s="27" t="inlineStr">
        <is>
          <t>Khoảng thời gian; Nhóm theo tháng/quý/năm; Tiêu chí</t>
        </is>
      </c>
      <c r="K42" s="27" t="inlineStr">
        <is>
          <t>Doanh thu theo kỳ; Theo dịch vụ/gói; Số đơn</t>
        </is>
      </c>
      <c r="L42" s="27" t="inlineStr">
        <is>
          <t>Xuất Excel (ĐX)</t>
        </is>
      </c>
      <c r="M42" s="27" t="inlineStr">
        <is>
          <t>—</t>
        </is>
      </c>
      <c r="N42" s="27" t="inlineStr">
        <is>
          <t>UC-SPA-33</t>
        </is>
      </c>
      <c r="O42" s="27" t="inlineStr">
        <is>
          <t>OWN</t>
        </is>
      </c>
      <c r="P42" s="26" t="inlineStr">
        <is>
          <t>Sprint 3</t>
        </is>
      </c>
    </row>
    <row r="43">
      <c r="A43" s="24" t="inlineStr">
        <is>
          <t>SCR-W39</t>
        </is>
      </c>
      <c r="B43" s="24" t="inlineStr">
        <is>
          <t>Web</t>
        </is>
      </c>
      <c r="C43" s="25" t="inlineStr">
        <is>
          <t>Owner</t>
        </is>
      </c>
      <c r="D43" s="25" t="inlineStr">
        <is>
          <t>Đánh giá</t>
        </is>
      </c>
      <c r="E43" s="25" t="inlineStr">
        <is>
          <t>Quản lý đánh giá</t>
        </is>
      </c>
      <c r="F43" s="25" t="inlineStr">
        <is>
          <t>/owner/reviews</t>
        </is>
      </c>
      <c r="G43" s="24" t="inlineStr">
        <is>
          <t>Đề xuất thêm</t>
        </is>
      </c>
      <c r="H43" s="25" t="inlineStr">
        <is>
          <t>Danh sách</t>
        </is>
      </c>
      <c r="I43" s="25" t="inlineStr">
        <is>
          <t>—</t>
        </is>
      </c>
      <c r="J43" s="25" t="inlineStr">
        <is>
          <t>★; Dịch vụ/gói; Trạng thái</t>
        </is>
      </c>
      <c r="K43" s="25" t="inlineStr">
        <is>
          <t>Khách; Sản phẩm; ★; Nội dung; Ảnh; Phản hồi; Trạng thái</t>
        </is>
      </c>
      <c r="L43" s="25" t="inlineStr">
        <is>
          <t>Phản hồi; Ẩn/Hiện</t>
        </is>
      </c>
      <c r="M43" s="25" t="inlineStr">
        <is>
          <t>Modal phản hồi</t>
        </is>
      </c>
      <c r="N43" s="25" t="inlineStr">
        <is>
          <t>UC-SPA-31</t>
        </is>
      </c>
      <c r="O43" s="25" t="inlineStr">
        <is>
          <t>OWN</t>
        </is>
      </c>
      <c r="P43" s="24" t="inlineStr">
        <is>
          <t>Sprint 3</t>
        </is>
      </c>
    </row>
    <row r="44">
      <c r="A44" s="26" t="inlineStr">
        <is>
          <t>SCR-W40</t>
        </is>
      </c>
      <c r="B44" s="26" t="inlineStr">
        <is>
          <t>Web</t>
        </is>
      </c>
      <c r="C44" s="27" t="inlineStr">
        <is>
          <t>Owner</t>
        </is>
      </c>
      <c r="D44" s="27" t="inlineStr">
        <is>
          <t>Tài khoản</t>
        </is>
      </c>
      <c r="E44" s="27" t="inlineStr">
        <is>
          <t>Quản lý tài khoản người dùng</t>
        </is>
      </c>
      <c r="F44" s="27" t="inlineStr">
        <is>
          <t>/owner/accounts</t>
        </is>
      </c>
      <c r="G44" s="26" t="inlineStr">
        <is>
          <t>Đề xuất thêm</t>
        </is>
      </c>
      <c r="H44" s="27" t="inlineStr">
        <is>
          <t>Data grid + chi tiết</t>
        </is>
      </c>
      <c r="I44" s="27" t="inlineStr">
        <is>
          <t>—</t>
        </is>
      </c>
      <c r="J44" s="27" t="inlineStr">
        <is>
          <t>Từ khóa; Vai trò; Trạng thái</t>
        </is>
      </c>
      <c r="K44" s="27" t="inlineStr">
        <is>
          <t>Họ tên; Email; SĐT; Vai trò; Trạng thái</t>
        </is>
      </c>
      <c r="L44" s="27" t="inlineStr">
        <is>
          <t>Xem; Sửa; Khóa/Mở khóa</t>
        </is>
      </c>
      <c r="M44" s="27" t="inlineStr">
        <is>
          <t>Modal xác nhận khóa</t>
        </is>
      </c>
      <c r="N44" s="27" t="inlineStr">
        <is>
          <t>UC-SPA-05</t>
        </is>
      </c>
      <c r="O44" s="27" t="inlineStr">
        <is>
          <t>OWN</t>
        </is>
      </c>
      <c r="P44" s="26" t="inlineStr">
        <is>
          <t>Sprint 2</t>
        </is>
      </c>
    </row>
    <row r="45">
      <c r="A45" s="24" t="inlineStr">
        <is>
          <t>SCR-M01</t>
        </is>
      </c>
      <c r="B45" s="24" t="inlineStr">
        <is>
          <t>Android</t>
        </is>
      </c>
      <c r="C45" s="25" t="inlineStr">
        <is>
          <t>Root</t>
        </is>
      </c>
      <c r="D45" s="25" t="inlineStr">
        <is>
          <t>—</t>
        </is>
      </c>
      <c r="E45" s="25" t="inlineStr">
        <is>
          <t>Trang chủ</t>
        </is>
      </c>
      <c r="F45" s="25" t="inlineStr">
        <is>
          <t>app/index.tsx</t>
        </is>
      </c>
      <c r="G45" s="24" t="inlineStr">
        <is>
          <t>Đã có placeholder</t>
        </is>
      </c>
      <c r="H45" s="25" t="inlineStr">
        <is>
          <t>Hero + lối tắt</t>
        </is>
      </c>
      <c r="I45" s="25" t="inlineStr">
        <is>
          <t>—</t>
        </is>
      </c>
      <c r="J45" s="25" t="inlineStr">
        <is>
          <t>—</t>
        </is>
      </c>
      <c r="K45" s="25" t="inlineStr">
        <is>
          <t>Dịch vụ nổi bật</t>
        </is>
      </c>
      <c r="L45" s="25" t="inlineStr">
        <is>
          <t>Tìm kiếm; Trợ lý AI</t>
        </is>
      </c>
      <c r="M45" s="25" t="inlineStr">
        <is>
          <t>—</t>
        </is>
      </c>
      <c r="N45" s="25" t="inlineStr">
        <is>
          <t>UC-SPA-06</t>
        </is>
      </c>
      <c r="O45" s="25" t="inlineStr">
        <is>
          <t>GUEST, CUS</t>
        </is>
      </c>
      <c r="P45" s="24" t="inlineStr">
        <is>
          <t>Sprint 1</t>
        </is>
      </c>
    </row>
    <row r="46">
      <c r="A46" s="26" t="inlineStr">
        <is>
          <t>SCR-M02</t>
        </is>
      </c>
      <c r="B46" s="26" t="inlineStr">
        <is>
          <t>Android</t>
        </is>
      </c>
      <c r="C46" s="27" t="inlineStr">
        <is>
          <t>Public Stack</t>
        </is>
      </c>
      <c r="D46" s="27" t="inlineStr">
        <is>
          <t>—</t>
        </is>
      </c>
      <c r="E46" s="27" t="inlineStr">
        <is>
          <t>Tìm kiếm dịch vụ</t>
        </is>
      </c>
      <c r="F46" s="27" t="inlineStr">
        <is>
          <t>app/(public)/services/index.tsx</t>
        </is>
      </c>
      <c r="G46" s="26" t="inlineStr">
        <is>
          <t>Đã có placeholder</t>
        </is>
      </c>
      <c r="H46" s="27" t="inlineStr">
        <is>
          <t>FlatList + bottom sheet lọc</t>
        </is>
      </c>
      <c r="I46" s="27" t="inlineStr">
        <is>
          <t>—</t>
        </is>
      </c>
      <c r="J46" s="27" t="inlineStr">
        <is>
          <t>Từ khóa; Loại; Giá</t>
        </is>
      </c>
      <c r="K46" s="27" t="inlineStr">
        <is>
          <t>Thẻ dịch vụ</t>
        </is>
      </c>
      <c r="L46" s="27" t="inlineStr">
        <is>
          <t>Xem; Thêm vào giỏ</t>
        </is>
      </c>
      <c r="M46" s="27" t="inlineStr">
        <is>
          <t>—</t>
        </is>
      </c>
      <c r="N46" s="27" t="inlineStr">
        <is>
          <t>UC-SPA-06</t>
        </is>
      </c>
      <c r="O46" s="27" t="inlineStr">
        <is>
          <t>GUEST, CUS</t>
        </is>
      </c>
      <c r="P46" s="26" t="inlineStr">
        <is>
          <t>Sprint 1</t>
        </is>
      </c>
    </row>
    <row r="47">
      <c r="A47" s="24" t="inlineStr">
        <is>
          <t>SCR-M03</t>
        </is>
      </c>
      <c r="B47" s="24" t="inlineStr">
        <is>
          <t>Android</t>
        </is>
      </c>
      <c r="C47" s="25" t="inlineStr">
        <is>
          <t>Public Stack</t>
        </is>
      </c>
      <c r="D47" s="25" t="inlineStr">
        <is>
          <t>—</t>
        </is>
      </c>
      <c r="E47" s="25" t="inlineStr">
        <is>
          <t>Chi tiết dịch vụ</t>
        </is>
      </c>
      <c r="F47" s="25" t="inlineStr">
        <is>
          <t>app/(public)/services/[serviceId].tsx</t>
        </is>
      </c>
      <c r="G47" s="24" t="inlineStr">
        <is>
          <t>Đã có placeholder</t>
        </is>
      </c>
      <c r="H47" s="25" t="inlineStr">
        <is>
          <t>Chi tiết</t>
        </is>
      </c>
      <c r="I47" s="25" t="inlineStr">
        <is>
          <t>—</t>
        </is>
      </c>
      <c r="J47" s="25" t="inlineStr">
        <is>
          <t>—</t>
        </is>
      </c>
      <c r="K47" s="25" t="inlineStr">
        <is>
          <t>Giá; Thời lượng; Đánh giá</t>
        </is>
      </c>
      <c r="L47" s="25" t="inlineStr">
        <is>
          <t>Thêm vào giỏ; Đặt ngay</t>
        </is>
      </c>
      <c r="M47" s="25" t="inlineStr">
        <is>
          <t>—</t>
        </is>
      </c>
      <c r="N47" s="25" t="inlineStr">
        <is>
          <t>UC-SPA-07, 29</t>
        </is>
      </c>
      <c r="O47" s="25" t="inlineStr">
        <is>
          <t>GUEST, CUS</t>
        </is>
      </c>
      <c r="P47" s="24" t="inlineStr">
        <is>
          <t>Sprint 1</t>
        </is>
      </c>
    </row>
    <row r="48">
      <c r="A48" s="26" t="inlineStr">
        <is>
          <t>SCR-M04</t>
        </is>
      </c>
      <c r="B48" s="26" t="inlineStr">
        <is>
          <t>Android</t>
        </is>
      </c>
      <c r="C48" s="27" t="inlineStr">
        <is>
          <t>Public Stack</t>
        </is>
      </c>
      <c r="D48" s="27" t="inlineStr">
        <is>
          <t>—</t>
        </is>
      </c>
      <c r="E48" s="27" t="inlineStr">
        <is>
          <t>Gói dịch vụ</t>
        </is>
      </c>
      <c r="F48" s="27" t="inlineStr">
        <is>
          <t>app/(public)/packages/index.tsx</t>
        </is>
      </c>
      <c r="G48" s="26" t="inlineStr">
        <is>
          <t>Đã có placeholder</t>
        </is>
      </c>
      <c r="H48" s="27" t="inlineStr">
        <is>
          <t>FlatList</t>
        </is>
      </c>
      <c r="I48" s="27" t="inlineStr">
        <is>
          <t>—</t>
        </is>
      </c>
      <c r="J48" s="27" t="inlineStr">
        <is>
          <t>—</t>
        </is>
      </c>
      <c r="K48" s="27" t="inlineStr">
        <is>
          <t>Thẻ gói</t>
        </is>
      </c>
      <c r="L48" s="27" t="inlineStr">
        <is>
          <t>Xem</t>
        </is>
      </c>
      <c r="M48" s="27" t="inlineStr">
        <is>
          <t>—</t>
        </is>
      </c>
      <c r="N48" s="27" t="inlineStr">
        <is>
          <t>UC-SPA-06</t>
        </is>
      </c>
      <c r="O48" s="27" t="inlineStr">
        <is>
          <t>GUEST, CUS</t>
        </is>
      </c>
      <c r="P48" s="26" t="inlineStr">
        <is>
          <t>Sprint 1</t>
        </is>
      </c>
    </row>
    <row r="49">
      <c r="A49" s="24" t="inlineStr">
        <is>
          <t>SCR-M05</t>
        </is>
      </c>
      <c r="B49" s="24" t="inlineStr">
        <is>
          <t>Android</t>
        </is>
      </c>
      <c r="C49" s="25" t="inlineStr">
        <is>
          <t>Public Stack</t>
        </is>
      </c>
      <c r="D49" s="25" t="inlineStr">
        <is>
          <t>—</t>
        </is>
      </c>
      <c r="E49" s="25" t="inlineStr">
        <is>
          <t>Chi tiết gói</t>
        </is>
      </c>
      <c r="F49" s="25" t="inlineStr">
        <is>
          <t>app/(public)/packages/[packageId].tsx</t>
        </is>
      </c>
      <c r="G49" s="24" t="inlineStr">
        <is>
          <t>Đã có placeholder</t>
        </is>
      </c>
      <c r="H49" s="25" t="inlineStr">
        <is>
          <t>Chi tiết</t>
        </is>
      </c>
      <c r="I49" s="25" t="inlineStr">
        <is>
          <t>—</t>
        </is>
      </c>
      <c r="J49" s="25" t="inlineStr">
        <is>
          <t>—</t>
        </is>
      </c>
      <c r="K49" s="25" t="inlineStr">
        <is>
          <t>Dịch vụ thành phần; Đánh giá</t>
        </is>
      </c>
      <c r="L49" s="25" t="inlineStr">
        <is>
          <t>Thêm vào giỏ</t>
        </is>
      </c>
      <c r="M49" s="25" t="inlineStr">
        <is>
          <t>—</t>
        </is>
      </c>
      <c r="N49" s="25" t="inlineStr">
        <is>
          <t>UC-SPA-07, 29</t>
        </is>
      </c>
      <c r="O49" s="25" t="inlineStr">
        <is>
          <t>GUEST, CUS</t>
        </is>
      </c>
      <c r="P49" s="24" t="inlineStr">
        <is>
          <t>Sprint 1</t>
        </is>
      </c>
    </row>
    <row r="50">
      <c r="A50" s="26" t="inlineStr">
        <is>
          <t>SCR-M06</t>
        </is>
      </c>
      <c r="B50" s="26" t="inlineStr">
        <is>
          <t>Android</t>
        </is>
      </c>
      <c r="C50" s="27" t="inlineStr">
        <is>
          <t>Public Stack</t>
        </is>
      </c>
      <c r="D50" s="27" t="inlineStr">
        <is>
          <t>—</t>
        </is>
      </c>
      <c r="E50" s="27" t="inlineStr">
        <is>
          <t>Đăng nhập</t>
        </is>
      </c>
      <c r="F50" s="27" t="inlineStr">
        <is>
          <t>app/(public)/login.tsx</t>
        </is>
      </c>
      <c r="G50" s="26" t="inlineStr">
        <is>
          <t>Đã có placeholder</t>
        </is>
      </c>
      <c r="H50" s="27" t="inlineStr">
        <is>
          <t>Form</t>
        </is>
      </c>
      <c r="I50" s="27" t="inlineStr">
        <is>
          <t>—</t>
        </is>
      </c>
      <c r="J50" s="27" t="inlineStr">
        <is>
          <t>—</t>
        </is>
      </c>
      <c r="K50" s="27" t="inlineStr">
        <is>
          <t>—</t>
        </is>
      </c>
      <c r="L50" s="27" t="inlineStr">
        <is>
          <t>Đăng nhập; Quên mật khẩu</t>
        </is>
      </c>
      <c r="M50" s="27" t="inlineStr">
        <is>
          <t>—</t>
        </is>
      </c>
      <c r="N50" s="27" t="inlineStr">
        <is>
          <t>UC-SPA-02</t>
        </is>
      </c>
      <c r="O50" s="27" t="inlineStr">
        <is>
          <t>GUEST</t>
        </is>
      </c>
      <c r="P50" s="26" t="inlineStr">
        <is>
          <t>Sprint 1</t>
        </is>
      </c>
    </row>
    <row r="51">
      <c r="A51" s="24" t="inlineStr">
        <is>
          <t>SCR-M07</t>
        </is>
      </c>
      <c r="B51" s="24" t="inlineStr">
        <is>
          <t>Android</t>
        </is>
      </c>
      <c r="C51" s="25" t="inlineStr">
        <is>
          <t>Public Stack</t>
        </is>
      </c>
      <c r="D51" s="25" t="inlineStr">
        <is>
          <t>—</t>
        </is>
      </c>
      <c r="E51" s="25" t="inlineStr">
        <is>
          <t>Đăng ký + OTP</t>
        </is>
      </c>
      <c r="F51" s="25" t="inlineStr">
        <is>
          <t>app/(public)/register.tsx</t>
        </is>
      </c>
      <c r="G51" s="24" t="inlineStr">
        <is>
          <t>Đã có placeholder</t>
        </is>
      </c>
      <c r="H51" s="25" t="inlineStr">
        <is>
          <t>Form 2 bước</t>
        </is>
      </c>
      <c r="I51" s="25" t="inlineStr">
        <is>
          <t>—</t>
        </is>
      </c>
      <c r="J51" s="25" t="inlineStr">
        <is>
          <t>—</t>
        </is>
      </c>
      <c r="K51" s="25" t="inlineStr">
        <is>
          <t>—</t>
        </is>
      </c>
      <c r="L51" s="25" t="inlineStr">
        <is>
          <t>Đăng ký; Nhập OTP</t>
        </is>
      </c>
      <c r="M51" s="25" t="inlineStr">
        <is>
          <t>—</t>
        </is>
      </c>
      <c r="N51" s="25" t="inlineStr">
        <is>
          <t>UC-SPA-01</t>
        </is>
      </c>
      <c r="O51" s="25" t="inlineStr">
        <is>
          <t>GUEST</t>
        </is>
      </c>
      <c r="P51" s="24" t="inlineStr">
        <is>
          <t>Sprint 1</t>
        </is>
      </c>
    </row>
    <row r="52">
      <c r="A52" s="26" t="inlineStr">
        <is>
          <t>SCR-M08</t>
        </is>
      </c>
      <c r="B52" s="26" t="inlineStr">
        <is>
          <t>Android</t>
        </is>
      </c>
      <c r="C52" s="27" t="inlineStr">
        <is>
          <t>Public Stack</t>
        </is>
      </c>
      <c r="D52" s="27" t="inlineStr">
        <is>
          <t>—</t>
        </is>
      </c>
      <c r="E52" s="27" t="inlineStr">
        <is>
          <t>Quên mật khẩu</t>
        </is>
      </c>
      <c r="F52" s="27" t="inlineStr">
        <is>
          <t>app/(public)/forgot-password.tsx</t>
        </is>
      </c>
      <c r="G52" s="26" t="inlineStr">
        <is>
          <t>Đề xuất thêm</t>
        </is>
      </c>
      <c r="H52" s="27" t="inlineStr">
        <is>
          <t>Form 3 bước</t>
        </is>
      </c>
      <c r="I52" s="27" t="inlineStr">
        <is>
          <t>—</t>
        </is>
      </c>
      <c r="J52" s="27" t="inlineStr">
        <is>
          <t>—</t>
        </is>
      </c>
      <c r="K52" s="27" t="inlineStr">
        <is>
          <t>—</t>
        </is>
      </c>
      <c r="L52" s="27" t="inlineStr">
        <is>
          <t>Gửi OTP; Đặt mật khẩu</t>
        </is>
      </c>
      <c r="M52" s="27" t="inlineStr">
        <is>
          <t>—</t>
        </is>
      </c>
      <c r="N52" s="27" t="inlineStr">
        <is>
          <t>UC-SPA-03</t>
        </is>
      </c>
      <c r="O52" s="27" t="inlineStr">
        <is>
          <t>GUEST</t>
        </is>
      </c>
      <c r="P52" s="26" t="inlineStr">
        <is>
          <t>Sprint 1</t>
        </is>
      </c>
    </row>
    <row r="53">
      <c r="A53" s="24" t="inlineStr">
        <is>
          <t>SCR-M09</t>
        </is>
      </c>
      <c r="B53" s="24" t="inlineStr">
        <is>
          <t>Android</t>
        </is>
      </c>
      <c r="C53" s="25" t="inlineStr">
        <is>
          <t>Public Stack</t>
        </is>
      </c>
      <c r="D53" s="25" t="inlineStr">
        <is>
          <t>—</t>
        </is>
      </c>
      <c r="E53" s="25" t="inlineStr">
        <is>
          <t>Giới thiệu spa</t>
        </is>
      </c>
      <c r="F53" s="25" t="inlineStr">
        <is>
          <t>app/(public)/about.tsx</t>
        </is>
      </c>
      <c r="G53" s="24" t="inlineStr">
        <is>
          <t>Đề xuất thêm</t>
        </is>
      </c>
      <c r="H53" s="25" t="inlineStr">
        <is>
          <t>Nội dung</t>
        </is>
      </c>
      <c r="I53" s="25" t="inlineStr">
        <is>
          <t>—</t>
        </is>
      </c>
      <c r="J53" s="25" t="inlineStr">
        <is>
          <t>—</t>
        </is>
      </c>
      <c r="K53" s="25" t="inlineStr">
        <is>
          <t>Giới thiệu; Liên hệ</t>
        </is>
      </c>
      <c r="L53" s="25" t="inlineStr">
        <is>
          <t>Gọi điện; Chỉ đường</t>
        </is>
      </c>
      <c r="M53" s="25" t="inlineStr">
        <is>
          <t>—</t>
        </is>
      </c>
      <c r="N53" s="25" t="inlineStr">
        <is>
          <t>UC-SPA-08</t>
        </is>
      </c>
      <c r="O53" s="25" t="inlineStr">
        <is>
          <t>GUEST, CUS</t>
        </is>
      </c>
      <c r="P53" s="24" t="inlineStr">
        <is>
          <t>Sprint 1</t>
        </is>
      </c>
    </row>
    <row r="54">
      <c r="A54" s="26" t="inlineStr">
        <is>
          <t>SCR-M10</t>
        </is>
      </c>
      <c r="B54" s="26" t="inlineStr">
        <is>
          <t>Android</t>
        </is>
      </c>
      <c r="C54" s="27" t="inlineStr">
        <is>
          <t>Customer Tabs</t>
        </is>
      </c>
      <c r="D54" s="27" t="inlineStr">
        <is>
          <t>Tab Trang chủ</t>
        </is>
      </c>
      <c r="E54" s="27" t="inlineStr">
        <is>
          <t>Trang chủ khách hàng</t>
        </is>
      </c>
      <c r="F54" s="27" t="inlineStr">
        <is>
          <t>app/(customer)/home.tsx</t>
        </is>
      </c>
      <c r="G54" s="26" t="inlineStr">
        <is>
          <t>Đã có placeholder</t>
        </is>
      </c>
      <c r="H54" s="27" t="inlineStr">
        <is>
          <t>Thẻ tổng hợp</t>
        </is>
      </c>
      <c r="I54" s="27" t="inlineStr">
        <is>
          <t>—</t>
        </is>
      </c>
      <c r="J54" s="27" t="inlineStr">
        <is>
          <t>—</t>
        </is>
      </c>
      <c r="K54" s="27" t="inlineStr">
        <is>
          <t>Lịch sắp tới; Gói đang dùng; Thông báo mới</t>
        </is>
      </c>
      <c r="L54" s="27" t="inlineStr">
        <is>
          <t>Đặt lịch</t>
        </is>
      </c>
      <c r="M54" s="27" t="inlineStr">
        <is>
          <t>—</t>
        </is>
      </c>
      <c r="N54" s="27" t="inlineStr">
        <is>
          <t>UC-SPA-16, 18, 34</t>
        </is>
      </c>
      <c r="O54" s="27" t="inlineStr">
        <is>
          <t>CUS</t>
        </is>
      </c>
      <c r="P54" s="26" t="inlineStr">
        <is>
          <t>Sprint 2</t>
        </is>
      </c>
    </row>
    <row r="55">
      <c r="A55" s="24" t="inlineStr">
        <is>
          <t>SCR-M11</t>
        </is>
      </c>
      <c r="B55" s="24" t="inlineStr">
        <is>
          <t>Android</t>
        </is>
      </c>
      <c r="C55" s="25" t="inlineStr">
        <is>
          <t>Customer Tabs</t>
        </is>
      </c>
      <c r="D55" s="25" t="inlineStr">
        <is>
          <t>Tab Lịch hẹn</t>
        </is>
      </c>
      <c r="E55" s="25" t="inlineStr">
        <is>
          <t>Lịch hẹn của tôi</t>
        </is>
      </c>
      <c r="F55" s="25" t="inlineStr">
        <is>
          <t>app/(customer)/bookings/index.tsx</t>
        </is>
      </c>
      <c r="G55" s="24" t="inlineStr">
        <is>
          <t>Đã có placeholder</t>
        </is>
      </c>
      <c r="H55" s="25" t="inlineStr">
        <is>
          <t>SectionList</t>
        </is>
      </c>
      <c r="I55" s="25" t="inlineStr">
        <is>
          <t>Sắp tới; Đã xong; Đã hủy</t>
        </is>
      </c>
      <c r="J55" s="25" t="inlineStr">
        <is>
          <t>—</t>
        </is>
      </c>
      <c r="K55" s="25" t="inlineStr">
        <is>
          <t>Ngày giờ; Dịch vụ; Trạng thái</t>
        </is>
      </c>
      <c r="L55" s="25" t="inlineStr">
        <is>
          <t>Xem</t>
        </is>
      </c>
      <c r="M55" s="25" t="inlineStr">
        <is>
          <t>—</t>
        </is>
      </c>
      <c r="N55" s="25" t="inlineStr">
        <is>
          <t>UC-SPA-16</t>
        </is>
      </c>
      <c r="O55" s="25" t="inlineStr">
        <is>
          <t>CUS</t>
        </is>
      </c>
      <c r="P55" s="24" t="inlineStr">
        <is>
          <t>Sprint 2</t>
        </is>
      </c>
    </row>
    <row r="56">
      <c r="A56" s="26" t="inlineStr">
        <is>
          <t>SCR-M12</t>
        </is>
      </c>
      <c r="B56" s="26" t="inlineStr">
        <is>
          <t>Android</t>
        </is>
      </c>
      <c r="C56" s="27" t="inlineStr">
        <is>
          <t>Customer Tabs</t>
        </is>
      </c>
      <c r="D56" s="27" t="inlineStr">
        <is>
          <t>Tab Lịch hẹn</t>
        </is>
      </c>
      <c r="E56" s="27" t="inlineStr">
        <is>
          <t>Chi tiết lịch hẹn</t>
        </is>
      </c>
      <c r="F56" s="27" t="inlineStr">
        <is>
          <t>app/(customer)/bookings/[bookingId].tsx</t>
        </is>
      </c>
      <c r="G56" s="26" t="inlineStr">
        <is>
          <t>Đã có placeholder</t>
        </is>
      </c>
      <c r="H56" s="27" t="inlineStr">
        <is>
          <t>Chi tiết</t>
        </is>
      </c>
      <c r="I56" s="27" t="inlineStr">
        <is>
          <t>—</t>
        </is>
      </c>
      <c r="J56" s="27" t="inlineStr">
        <is>
          <t>—</t>
        </is>
      </c>
      <c r="K56" s="27" t="inlineStr">
        <is>
          <t>Trạng thái</t>
        </is>
      </c>
      <c r="L56" s="27" t="inlineStr">
        <is>
          <t>Đổi lịch; Hủy</t>
        </is>
      </c>
      <c r="M56" s="27" t="inlineStr">
        <is>
          <t>Bottom sheet chọn giờ</t>
        </is>
      </c>
      <c r="N56" s="27" t="inlineStr">
        <is>
          <t>UC-SPA-16</t>
        </is>
      </c>
      <c r="O56" s="27" t="inlineStr">
        <is>
          <t>CUS</t>
        </is>
      </c>
      <c r="P56" s="26" t="inlineStr">
        <is>
          <t>Sprint 2</t>
        </is>
      </c>
    </row>
    <row r="57">
      <c r="A57" s="24" t="inlineStr">
        <is>
          <t>SCR-M13</t>
        </is>
      </c>
      <c r="B57" s="24" t="inlineStr">
        <is>
          <t>Android</t>
        </is>
      </c>
      <c r="C57" s="25" t="inlineStr">
        <is>
          <t>Customer Tabs</t>
        </is>
      </c>
      <c r="D57" s="25" t="inlineStr">
        <is>
          <t>Tab Liệu trình</t>
        </is>
      </c>
      <c r="E57" s="25" t="inlineStr">
        <is>
          <t>Liệu trình</t>
        </is>
      </c>
      <c r="F57" s="25" t="inlineStr">
        <is>
          <t>app/(customer)/treatments/index.tsx</t>
        </is>
      </c>
      <c r="G57" s="24" t="inlineStr">
        <is>
          <t>Đã có placeholder</t>
        </is>
      </c>
      <c r="H57" s="25" t="inlineStr">
        <is>
          <t>Timeline</t>
        </is>
      </c>
      <c r="I57" s="25" t="inlineStr">
        <is>
          <t>—</t>
        </is>
      </c>
      <c r="J57" s="25" t="inlineStr">
        <is>
          <t>—</t>
        </is>
      </c>
      <c r="K57" s="25" t="inlineStr">
        <is>
          <t>Tiến độ; Buổi</t>
        </is>
      </c>
      <c r="L57" s="25" t="inlineStr">
        <is>
          <t>Đặt lịch buổi</t>
        </is>
      </c>
      <c r="M57" s="25" t="inlineStr">
        <is>
          <t>—</t>
        </is>
      </c>
      <c r="N57" s="25" t="inlineStr">
        <is>
          <t>UC-SPA-19</t>
        </is>
      </c>
      <c r="O57" s="25" t="inlineStr">
        <is>
          <t>CUS</t>
        </is>
      </c>
      <c r="P57" s="24" t="inlineStr">
        <is>
          <t>Sprint 2</t>
        </is>
      </c>
    </row>
    <row r="58">
      <c r="A58" s="26" t="inlineStr">
        <is>
          <t>SCR-M14</t>
        </is>
      </c>
      <c r="B58" s="26" t="inlineStr">
        <is>
          <t>Android</t>
        </is>
      </c>
      <c r="C58" s="27" t="inlineStr">
        <is>
          <t>Customer Tabs</t>
        </is>
      </c>
      <c r="D58" s="27" t="inlineStr">
        <is>
          <t>Tab Gói của tôi</t>
        </is>
      </c>
      <c r="E58" s="27" t="inlineStr">
        <is>
          <t>Dịch vụ và gói của tôi</t>
        </is>
      </c>
      <c r="F58" s="27" t="inlineStr">
        <is>
          <t>app/(customer)/packages/index.tsx</t>
        </is>
      </c>
      <c r="G58" s="26" t="inlineStr">
        <is>
          <t>Đã có placeholder</t>
        </is>
      </c>
      <c r="H58" s="27" t="inlineStr">
        <is>
          <t>Thẻ + tiến độ</t>
        </is>
      </c>
      <c r="I58" s="27" t="inlineStr">
        <is>
          <t>Dịch vụ lẻ; Gói</t>
        </is>
      </c>
      <c r="J58" s="27" t="inlineStr">
        <is>
          <t>—</t>
        </is>
      </c>
      <c r="K58" s="27" t="inlineStr">
        <is>
          <t>Hạn; Trạng thái; Số buổi</t>
        </is>
      </c>
      <c r="L58" s="27" t="inlineStr">
        <is>
          <t>Đặt lịch; Xem liệu trình</t>
        </is>
      </c>
      <c r="M58" s="27" t="inlineStr">
        <is>
          <t>—</t>
        </is>
      </c>
      <c r="N58" s="27" t="inlineStr">
        <is>
          <t>UC-SPA-18</t>
        </is>
      </c>
      <c r="O58" s="27" t="inlineStr">
        <is>
          <t>CUS</t>
        </is>
      </c>
      <c r="P58" s="26" t="inlineStr">
        <is>
          <t>Sprint 2</t>
        </is>
      </c>
    </row>
    <row r="59">
      <c r="A59" s="24" t="inlineStr">
        <is>
          <t>SCR-M15</t>
        </is>
      </c>
      <c r="B59" s="24" t="inlineStr">
        <is>
          <t>Android</t>
        </is>
      </c>
      <c r="C59" s="25" t="inlineStr">
        <is>
          <t>Customer Tabs</t>
        </is>
      </c>
      <c r="D59" s="25" t="inlineStr">
        <is>
          <t>Tab Cá nhân</t>
        </is>
      </c>
      <c r="E59" s="25" t="inlineStr">
        <is>
          <t>Cá nhân</t>
        </is>
      </c>
      <c r="F59" s="25" t="inlineStr">
        <is>
          <t>app/(customer)/profile.tsx</t>
        </is>
      </c>
      <c r="G59" s="24" t="inlineStr">
        <is>
          <t>Đã có placeholder</t>
        </is>
      </c>
      <c r="H59" s="25" t="inlineStr">
        <is>
          <t>Menu + form</t>
        </is>
      </c>
      <c r="I59" s="25" t="inlineStr">
        <is>
          <t>—</t>
        </is>
      </c>
      <c r="J59" s="25" t="inlineStr">
        <is>
          <t>—</t>
        </is>
      </c>
      <c r="K59" s="25" t="inlineStr">
        <is>
          <t>—</t>
        </is>
      </c>
      <c r="L59" s="25" t="inlineStr">
        <is>
          <t>Sửa thông tin; Đơn hàng; Lịch sử; Thông báo; Đăng xuất</t>
        </is>
      </c>
      <c r="M59" s="25" t="inlineStr">
        <is>
          <t>—</t>
        </is>
      </c>
      <c r="N59" s="25" t="inlineStr">
        <is>
          <t>UC-SPA-04</t>
        </is>
      </c>
      <c r="O59" s="25" t="inlineStr">
        <is>
          <t>CUS</t>
        </is>
      </c>
      <c r="P59" s="24" t="inlineStr">
        <is>
          <t>Sprint 1</t>
        </is>
      </c>
    </row>
    <row r="60">
      <c r="A60" s="26" t="inlineStr">
        <is>
          <t>SCR-M16</t>
        </is>
      </c>
      <c r="B60" s="26" t="inlineStr">
        <is>
          <t>Android</t>
        </is>
      </c>
      <c r="C60" s="27" t="inlineStr">
        <is>
          <t>Customer (ẩn tab)</t>
        </is>
      </c>
      <c r="D60" s="27" t="inlineStr">
        <is>
          <t>—</t>
        </is>
      </c>
      <c r="E60" s="27" t="inlineStr">
        <is>
          <t>Trợ lý AI</t>
        </is>
      </c>
      <c r="F60" s="27" t="inlineStr">
        <is>
          <t>app/(customer)/ai-assistant.tsx</t>
        </is>
      </c>
      <c r="G60" s="26" t="inlineStr">
        <is>
          <t>Đã có placeholder</t>
        </is>
      </c>
      <c r="H60" s="27" t="inlineStr">
        <is>
          <t>Chat</t>
        </is>
      </c>
      <c r="I60" s="27" t="inlineStr">
        <is>
          <t>—</t>
        </is>
      </c>
      <c r="J60" s="27" t="inlineStr">
        <is>
          <t>—</t>
        </is>
      </c>
      <c r="K60" s="27" t="inlineStr">
        <is>
          <t>Hỏi – đáp</t>
        </is>
      </c>
      <c r="L60" s="27" t="inlineStr">
        <is>
          <t>Gửi</t>
        </is>
      </c>
      <c r="M60" s="27" t="inlineStr">
        <is>
          <t>—</t>
        </is>
      </c>
      <c r="N60" s="27" t="inlineStr">
        <is>
          <t>UC-SPA-32</t>
        </is>
      </c>
      <c r="O60" s="27" t="inlineStr">
        <is>
          <t>CUS</t>
        </is>
      </c>
      <c r="P60" s="26" t="inlineStr">
        <is>
          <t>Sprint 3</t>
        </is>
      </c>
    </row>
    <row r="61">
      <c r="A61" s="24" t="inlineStr">
        <is>
          <t>SCR-M17</t>
        </is>
      </c>
      <c r="B61" s="24" t="inlineStr">
        <is>
          <t>Android</t>
        </is>
      </c>
      <c r="C61" s="25" t="inlineStr">
        <is>
          <t>Customer (ẩn tab)</t>
        </is>
      </c>
      <c r="D61" s="25" t="inlineStr">
        <is>
          <t>—</t>
        </is>
      </c>
      <c r="E61" s="25" t="inlineStr">
        <is>
          <t>Đánh giá</t>
        </is>
      </c>
      <c r="F61" s="25" t="inlineStr">
        <is>
          <t>app/(customer)/reviews.tsx</t>
        </is>
      </c>
      <c r="G61" s="24" t="inlineStr">
        <is>
          <t>Đã có placeholder</t>
        </is>
      </c>
      <c r="H61" s="25" t="inlineStr">
        <is>
          <t>Danh sách + form</t>
        </is>
      </c>
      <c r="I61" s="25" t="inlineStr">
        <is>
          <t>—</t>
        </is>
      </c>
      <c r="J61" s="25" t="inlineStr">
        <is>
          <t>—</t>
        </is>
      </c>
      <c r="K61" s="25" t="inlineStr">
        <is>
          <t>—</t>
        </is>
      </c>
      <c r="L61" s="25" t="inlineStr">
        <is>
          <t>Đánh giá kèm ảnh</t>
        </is>
      </c>
      <c r="M61" s="25" t="inlineStr">
        <is>
          <t>—</t>
        </is>
      </c>
      <c r="N61" s="25" t="inlineStr">
        <is>
          <t>UC-SPA-30</t>
        </is>
      </c>
      <c r="O61" s="25" t="inlineStr">
        <is>
          <t>CUS</t>
        </is>
      </c>
      <c r="P61" s="24" t="inlineStr">
        <is>
          <t>Sprint 2</t>
        </is>
      </c>
    </row>
    <row r="62">
      <c r="A62" s="26" t="inlineStr">
        <is>
          <t>SCR-M18</t>
        </is>
      </c>
      <c r="B62" s="26" t="inlineStr">
        <is>
          <t>Android</t>
        </is>
      </c>
      <c r="C62" s="27" t="inlineStr">
        <is>
          <t>Customer (ẩn tab)</t>
        </is>
      </c>
      <c r="D62" s="27" t="inlineStr">
        <is>
          <t>—</t>
        </is>
      </c>
      <c r="E62" s="27" t="inlineStr">
        <is>
          <t>Đặt lịch</t>
        </is>
      </c>
      <c r="F62" s="27" t="inlineStr">
        <is>
          <t>app/(customer)/booking/new.tsx</t>
        </is>
      </c>
      <c r="G62" s="26" t="inlineStr">
        <is>
          <t>Đề xuất thêm</t>
        </is>
      </c>
      <c r="H62" s="27" t="inlineStr">
        <is>
          <t>Stepper</t>
        </is>
      </c>
      <c r="I62" s="27" t="inlineStr">
        <is>
          <t>—</t>
        </is>
      </c>
      <c r="J62" s="27" t="inlineStr">
        <is>
          <t>—</t>
        </is>
      </c>
      <c r="K62" s="27" t="inlineStr">
        <is>
          <t>Giờ trống theo nhân viên</t>
        </is>
      </c>
      <c r="L62" s="27" t="inlineStr">
        <is>
          <t>Xác nhận</t>
        </is>
      </c>
      <c r="M62" s="27" t="inlineStr">
        <is>
          <t>—</t>
        </is>
      </c>
      <c r="N62" s="27" t="inlineStr">
        <is>
          <t>UC-SPA-15</t>
        </is>
      </c>
      <c r="O62" s="27" t="inlineStr">
        <is>
          <t>CUS</t>
        </is>
      </c>
      <c r="P62" s="26" t="inlineStr">
        <is>
          <t>Sprint 1</t>
        </is>
      </c>
    </row>
    <row r="63">
      <c r="A63" s="24" t="inlineStr">
        <is>
          <t>SCR-M19</t>
        </is>
      </c>
      <c r="B63" s="24" t="inlineStr">
        <is>
          <t>Android</t>
        </is>
      </c>
      <c r="C63" s="25" t="inlineStr">
        <is>
          <t>Customer (ẩn tab)</t>
        </is>
      </c>
      <c r="D63" s="25" t="inlineStr">
        <is>
          <t>—</t>
        </is>
      </c>
      <c r="E63" s="25" t="inlineStr">
        <is>
          <t>Giỏ hàng &amp; thanh toán</t>
        </is>
      </c>
      <c r="F63" s="25" t="inlineStr">
        <is>
          <t>app/(customer)/cart.tsx, checkout.tsx</t>
        </is>
      </c>
      <c r="G63" s="24" t="inlineStr">
        <is>
          <t>Đề xuất thêm</t>
        </is>
      </c>
      <c r="H63" s="25" t="inlineStr">
        <is>
          <t>Danh sách + WebBrowser cổng</t>
        </is>
      </c>
      <c r="I63" s="25" t="inlineStr">
        <is>
          <t>—</t>
        </is>
      </c>
      <c r="J63" s="25" t="inlineStr">
        <is>
          <t>—</t>
        </is>
      </c>
      <c r="K63" s="25" t="inlineStr">
        <is>
          <t>Tổng tiền</t>
        </is>
      </c>
      <c r="L63" s="25" t="inlineStr">
        <is>
          <t>Xóa; Áp mã; Thanh toán (deep-link về app)</t>
        </is>
      </c>
      <c r="M63" s="25" t="inlineStr">
        <is>
          <t>—</t>
        </is>
      </c>
      <c r="N63" s="25" t="inlineStr">
        <is>
          <t>UC-SPA-10, 11</t>
        </is>
      </c>
      <c r="O63" s="25" t="inlineStr">
        <is>
          <t>CUS</t>
        </is>
      </c>
      <c r="P63" s="24" t="inlineStr">
        <is>
          <t>Sprint 2</t>
        </is>
      </c>
    </row>
    <row r="64">
      <c r="A64" s="26" t="inlineStr">
        <is>
          <t>SCR-M20</t>
        </is>
      </c>
      <c r="B64" s="26" t="inlineStr">
        <is>
          <t>Android</t>
        </is>
      </c>
      <c r="C64" s="27" t="inlineStr">
        <is>
          <t>Customer (ẩn tab)</t>
        </is>
      </c>
      <c r="D64" s="27" t="inlineStr">
        <is>
          <t>—</t>
        </is>
      </c>
      <c r="E64" s="27" t="inlineStr">
        <is>
          <t>Đơn hàng của tôi</t>
        </is>
      </c>
      <c r="F64" s="27" t="inlineStr">
        <is>
          <t>app/(customer)/orders/index.tsx, [orderId].tsx</t>
        </is>
      </c>
      <c r="G64" s="26" t="inlineStr">
        <is>
          <t>Đề xuất thêm</t>
        </is>
      </c>
      <c r="H64" s="27" t="inlineStr">
        <is>
          <t>Danh sách</t>
        </is>
      </c>
      <c r="I64" s="27" t="inlineStr">
        <is>
          <t>—</t>
        </is>
      </c>
      <c r="J64" s="27" t="inlineStr">
        <is>
          <t>—</t>
        </is>
      </c>
      <c r="K64" s="27" t="inlineStr">
        <is>
          <t>Mã; Tổng; Trạng thái</t>
        </is>
      </c>
      <c r="L64" s="27" t="inlineStr">
        <is>
          <t>Thanh toán lại; Hủy</t>
        </is>
      </c>
      <c r="M64" s="27" t="inlineStr">
        <is>
          <t>—</t>
        </is>
      </c>
      <c r="N64" s="27" t="inlineStr">
        <is>
          <t>UC-SPA-12</t>
        </is>
      </c>
      <c r="O64" s="27" t="inlineStr">
        <is>
          <t>CUS</t>
        </is>
      </c>
      <c r="P64" s="26" t="inlineStr">
        <is>
          <t>Sprint 2</t>
        </is>
      </c>
    </row>
    <row r="65">
      <c r="A65" s="24" t="inlineStr">
        <is>
          <t>SCR-M21</t>
        </is>
      </c>
      <c r="B65" s="24" t="inlineStr">
        <is>
          <t>Android</t>
        </is>
      </c>
      <c r="C65" s="25" t="inlineStr">
        <is>
          <t>Customer (ẩn tab)</t>
        </is>
      </c>
      <c r="D65" s="25" t="inlineStr">
        <is>
          <t>—</t>
        </is>
      </c>
      <c r="E65" s="25" t="inlineStr">
        <is>
          <t>Lịch sử sử dụng</t>
        </is>
      </c>
      <c r="F65" s="25" t="inlineStr">
        <is>
          <t>app/(customer)/history.tsx</t>
        </is>
      </c>
      <c r="G65" s="24" t="inlineStr">
        <is>
          <t>Đề xuất thêm</t>
        </is>
      </c>
      <c r="H65" s="25" t="inlineStr">
        <is>
          <t>Danh sách</t>
        </is>
      </c>
      <c r="I65" s="25" t="inlineStr">
        <is>
          <t>—</t>
        </is>
      </c>
      <c r="J65" s="25" t="inlineStr">
        <is>
          <t>—</t>
        </is>
      </c>
      <c r="K65" s="25" t="inlineStr">
        <is>
          <t>Ngày; Dịch vụ</t>
        </is>
      </c>
      <c r="L65" s="25" t="inlineStr">
        <is>
          <t>Xem</t>
        </is>
      </c>
      <c r="M65" s="25" t="inlineStr">
        <is>
          <t>—</t>
        </is>
      </c>
      <c r="N65" s="25" t="inlineStr">
        <is>
          <t>UC-SPA-20</t>
        </is>
      </c>
      <c r="O65" s="25" t="inlineStr">
        <is>
          <t>CUS</t>
        </is>
      </c>
      <c r="P65" s="24" t="inlineStr">
        <is>
          <t>Sprint 2</t>
        </is>
      </c>
    </row>
    <row r="66">
      <c r="A66" s="26" t="inlineStr">
        <is>
          <t>SCR-M22</t>
        </is>
      </c>
      <c r="B66" s="26" t="inlineStr">
        <is>
          <t>Android</t>
        </is>
      </c>
      <c r="C66" s="27" t="inlineStr">
        <is>
          <t>Customer / Staff</t>
        </is>
      </c>
      <c r="D66" s="27" t="inlineStr">
        <is>
          <t>—</t>
        </is>
      </c>
      <c r="E66" s="27" t="inlineStr">
        <is>
          <t>Thông báo</t>
        </is>
      </c>
      <c r="F66" s="27" t="inlineStr">
        <is>
          <t>app/(customer)/notifications.tsx, app/(staff)/notifications.tsx</t>
        </is>
      </c>
      <c r="G66" s="26" t="inlineStr">
        <is>
          <t>Đề xuất thêm</t>
        </is>
      </c>
      <c r="H66" s="27" t="inlineStr">
        <is>
          <t>Danh sách</t>
        </is>
      </c>
      <c r="I66" s="27" t="inlineStr">
        <is>
          <t>—</t>
        </is>
      </c>
      <c r="J66" s="27" t="inlineStr">
        <is>
          <t>—</t>
        </is>
      </c>
      <c r="K66" s="27" t="inlineStr">
        <is>
          <t>Tiêu đề; Thời gian</t>
        </is>
      </c>
      <c r="L66" s="27" t="inlineStr">
        <is>
          <t>Mở</t>
        </is>
      </c>
      <c r="M66" s="27" t="inlineStr">
        <is>
          <t>—</t>
        </is>
      </c>
      <c r="N66" s="27" t="inlineStr">
        <is>
          <t>UC-SPA-34</t>
        </is>
      </c>
      <c r="O66" s="27" t="inlineStr">
        <is>
          <t>CUS, STF</t>
        </is>
      </c>
      <c r="P66" s="26" t="inlineStr">
        <is>
          <t>Sprint 3</t>
        </is>
      </c>
    </row>
    <row r="67">
      <c r="A67" s="24" t="inlineStr">
        <is>
          <t>SCR-M23</t>
        </is>
      </c>
      <c r="B67" s="24" t="inlineStr">
        <is>
          <t>Android</t>
        </is>
      </c>
      <c r="C67" s="25" t="inlineStr">
        <is>
          <t>Staff Stack</t>
        </is>
      </c>
      <c r="D67" s="25" t="inlineStr">
        <is>
          <t>—</t>
        </is>
      </c>
      <c r="E67" s="25" t="inlineStr">
        <is>
          <t>Tổng quan nhân viên</t>
        </is>
      </c>
      <c r="F67" s="25" t="inlineStr">
        <is>
          <t>app/(staff)/dashboard.tsx</t>
        </is>
      </c>
      <c r="G67" s="24" t="inlineStr">
        <is>
          <t>Đã có placeholder</t>
        </is>
      </c>
      <c r="H67" s="25" t="inlineStr">
        <is>
          <t>Thẻ hôm nay</t>
        </is>
      </c>
      <c r="I67" s="25" t="inlineStr">
        <is>
          <t>—</t>
        </is>
      </c>
      <c r="J67" s="25" t="inlineStr">
        <is>
          <t>—</t>
        </is>
      </c>
      <c r="K67" s="25" t="inlineStr">
        <is>
          <t>Ca; Lịch hẹn</t>
        </is>
      </c>
      <c r="L67" s="25" t="inlineStr">
        <is>
          <t>Mở lịch</t>
        </is>
      </c>
      <c r="M67" s="25" t="inlineStr">
        <is>
          <t>—</t>
        </is>
      </c>
      <c r="N67" s="25" t="inlineStr">
        <is>
          <t>UC-SPA-24, 25</t>
        </is>
      </c>
      <c r="O67" s="25" t="inlineStr">
        <is>
          <t>STF</t>
        </is>
      </c>
      <c r="P67" s="24" t="inlineStr">
        <is>
          <t>Sprint 2</t>
        </is>
      </c>
    </row>
    <row r="68">
      <c r="A68" s="26" t="inlineStr">
        <is>
          <t>SCR-M24</t>
        </is>
      </c>
      <c r="B68" s="26" t="inlineStr">
        <is>
          <t>Android</t>
        </is>
      </c>
      <c r="C68" s="27" t="inlineStr">
        <is>
          <t>Staff Stack</t>
        </is>
      </c>
      <c r="D68" s="27" t="inlineStr">
        <is>
          <t>—</t>
        </is>
      </c>
      <c r="E68" s="27" t="inlineStr">
        <is>
          <t>Lịch làm việc</t>
        </is>
      </c>
      <c r="F68" s="27" t="inlineStr">
        <is>
          <t>app/(staff)/schedule.tsx</t>
        </is>
      </c>
      <c r="G68" s="26" t="inlineStr">
        <is>
          <t>Đã có placeholder</t>
        </is>
      </c>
      <c r="H68" s="27" t="inlineStr">
        <is>
          <t>Lịch tuần</t>
        </is>
      </c>
      <c r="I68" s="27" t="inlineStr">
        <is>
          <t>—</t>
        </is>
      </c>
      <c r="J68" s="27" t="inlineStr">
        <is>
          <t>—</t>
        </is>
      </c>
      <c r="K68" s="27" t="inlineStr">
        <is>
          <t>Ca</t>
        </is>
      </c>
      <c r="L68" s="27" t="inlineStr">
        <is>
          <t>—</t>
        </is>
      </c>
      <c r="M68" s="27" t="inlineStr">
        <is>
          <t>—</t>
        </is>
      </c>
      <c r="N68" s="27" t="inlineStr">
        <is>
          <t>UC-SPA-24</t>
        </is>
      </c>
      <c r="O68" s="27" t="inlineStr">
        <is>
          <t>STF</t>
        </is>
      </c>
      <c r="P68" s="26" t="inlineStr">
        <is>
          <t>Sprint 2</t>
        </is>
      </c>
    </row>
    <row r="69">
      <c r="A69" s="24" t="inlineStr">
        <is>
          <t>SCR-M25</t>
        </is>
      </c>
      <c r="B69" s="24" t="inlineStr">
        <is>
          <t>Android</t>
        </is>
      </c>
      <c r="C69" s="25" t="inlineStr">
        <is>
          <t>Staff Stack</t>
        </is>
      </c>
      <c r="D69" s="25" t="inlineStr">
        <is>
          <t>—</t>
        </is>
      </c>
      <c r="E69" s="25" t="inlineStr">
        <is>
          <t>Lịch hẹn được phân công</t>
        </is>
      </c>
      <c r="F69" s="25" t="inlineStr">
        <is>
          <t>app/(staff)/bookings/index.tsx</t>
        </is>
      </c>
      <c r="G69" s="24" t="inlineStr">
        <is>
          <t>Đã có placeholder</t>
        </is>
      </c>
      <c r="H69" s="25" t="inlineStr">
        <is>
          <t>Danh sách</t>
        </is>
      </c>
      <c r="I69" s="25" t="inlineStr">
        <is>
          <t>—</t>
        </is>
      </c>
      <c r="J69" s="25" t="inlineStr">
        <is>
          <t>Ngày; Trạng thái</t>
        </is>
      </c>
      <c r="K69" s="25" t="inlineStr">
        <is>
          <t>Giờ; Khách; Dịch vụ</t>
        </is>
      </c>
      <c r="L69" s="25" t="inlineStr">
        <is>
          <t>Mở</t>
        </is>
      </c>
      <c r="M69" s="25" t="inlineStr">
        <is>
          <t>—</t>
        </is>
      </c>
      <c r="N69" s="25" t="inlineStr">
        <is>
          <t>UC-SPA-25</t>
        </is>
      </c>
      <c r="O69" s="25" t="inlineStr">
        <is>
          <t>STF</t>
        </is>
      </c>
      <c r="P69" s="24" t="inlineStr">
        <is>
          <t>Sprint 2</t>
        </is>
      </c>
    </row>
    <row r="70">
      <c r="A70" s="26" t="inlineStr">
        <is>
          <t>SCR-M26</t>
        </is>
      </c>
      <c r="B70" s="26" t="inlineStr">
        <is>
          <t>Android</t>
        </is>
      </c>
      <c r="C70" s="27" t="inlineStr">
        <is>
          <t>Staff Stack</t>
        </is>
      </c>
      <c r="D70" s="27" t="inlineStr">
        <is>
          <t>—</t>
        </is>
      </c>
      <c r="E70" s="27" t="inlineStr">
        <is>
          <t>Buổi chăm sóc</t>
        </is>
      </c>
      <c r="F70" s="27" t="inlineStr">
        <is>
          <t>app/(staff)/bookings/[bookingId].tsx</t>
        </is>
      </c>
      <c r="G70" s="26" t="inlineStr">
        <is>
          <t>Đã có placeholder</t>
        </is>
      </c>
      <c r="H70" s="27" t="inlineStr">
        <is>
          <t>Chi tiết + form</t>
        </is>
      </c>
      <c r="I70" s="27" t="inlineStr">
        <is>
          <t>—</t>
        </is>
      </c>
      <c r="J70" s="27" t="inlineStr">
        <is>
          <t>—</t>
        </is>
      </c>
      <c r="K70" s="27" t="inlineStr">
        <is>
          <t>Dị ứng; Hồ sơ da</t>
        </is>
      </c>
      <c r="L70" s="27" t="inlineStr">
        <is>
          <t>Lập hồ sơ da; Xác nhận hoàn thành</t>
        </is>
      </c>
      <c r="M70" s="27" t="inlineStr">
        <is>
          <t>—</t>
        </is>
      </c>
      <c r="N70" s="27" t="inlineStr">
        <is>
          <t>UC-SPA-25, 27, 28</t>
        </is>
      </c>
      <c r="O70" s="27" t="inlineStr">
        <is>
          <t>STF</t>
        </is>
      </c>
      <c r="P70" s="26" t="inlineStr">
        <is>
          <t>Sprint 2</t>
        </is>
      </c>
    </row>
    <row r="71">
      <c r="A71" s="24" t="inlineStr">
        <is>
          <t>SCR-M27</t>
        </is>
      </c>
      <c r="B71" s="24" t="inlineStr">
        <is>
          <t>Android</t>
        </is>
      </c>
      <c r="C71" s="25" t="inlineStr">
        <is>
          <t>Staff Stack</t>
        </is>
      </c>
      <c r="D71" s="25" t="inlineStr">
        <is>
          <t>—</t>
        </is>
      </c>
      <c r="E71" s="25" t="inlineStr">
        <is>
          <t>Lịch sử khách đã chăm sóc</t>
        </is>
      </c>
      <c r="F71" s="25" t="inlineStr">
        <is>
          <t>app/(staff)/care-history.tsx</t>
        </is>
      </c>
      <c r="G71" s="24" t="inlineStr">
        <is>
          <t>Đề xuất thêm</t>
        </is>
      </c>
      <c r="H71" s="25" t="inlineStr">
        <is>
          <t>Danh sách</t>
        </is>
      </c>
      <c r="I71" s="25" t="inlineStr">
        <is>
          <t>—</t>
        </is>
      </c>
      <c r="J71" s="25" t="inlineStr">
        <is>
          <t>Khách</t>
        </is>
      </c>
      <c r="K71" s="25" t="inlineStr">
        <is>
          <t>Ngày; Khách; Dịch vụ</t>
        </is>
      </c>
      <c r="L71" s="25" t="inlineStr">
        <is>
          <t>Xem hồ sơ</t>
        </is>
      </c>
      <c r="M71" s="25" t="inlineStr">
        <is>
          <t>—</t>
        </is>
      </c>
      <c r="N71" s="25" t="inlineStr">
        <is>
          <t>UC-SPA-26</t>
        </is>
      </c>
      <c r="O71" s="25" t="inlineStr">
        <is>
          <t>STF</t>
        </is>
      </c>
      <c r="P71" s="24" t="inlineStr">
        <is>
          <t>Sprint 2</t>
        </is>
      </c>
    </row>
    <row r="72">
      <c r="A72" s="26" t="inlineStr">
        <is>
          <t>SCR-M28</t>
        </is>
      </c>
      <c r="B72" s="26" t="inlineStr">
        <is>
          <t>Android</t>
        </is>
      </c>
      <c r="C72" s="27" t="inlineStr">
        <is>
          <t>Owner Stack</t>
        </is>
      </c>
      <c r="D72" s="27" t="inlineStr">
        <is>
          <t>—</t>
        </is>
      </c>
      <c r="E72" s="27" t="inlineStr">
        <is>
          <t>Tổng quan</t>
        </is>
      </c>
      <c r="F72" s="27" t="inlineStr">
        <is>
          <t>app/(owner)/dashboard.tsx</t>
        </is>
      </c>
      <c r="G72" s="26" t="inlineStr">
        <is>
          <t>Đã có placeholder</t>
        </is>
      </c>
      <c r="H72" s="27" t="inlineStr">
        <is>
          <t>KPI</t>
        </is>
      </c>
      <c r="I72" s="27" t="inlineStr">
        <is>
          <t>—</t>
        </is>
      </c>
      <c r="J72" s="27" t="inlineStr">
        <is>
          <t>—</t>
        </is>
      </c>
      <c r="K72" s="27" t="inlineStr">
        <is>
          <t>Doanh thu</t>
        </is>
      </c>
      <c r="L72" s="27" t="inlineStr">
        <is>
          <t>—</t>
        </is>
      </c>
      <c r="M72" s="27" t="inlineStr">
        <is>
          <t>—</t>
        </is>
      </c>
      <c r="N72" s="27" t="inlineStr">
        <is>
          <t>UC-SPA-33</t>
        </is>
      </c>
      <c r="O72" s="27" t="inlineStr">
        <is>
          <t>OWN</t>
        </is>
      </c>
      <c r="P72" s="26" t="inlineStr">
        <is>
          <t>Sprint 3</t>
        </is>
      </c>
    </row>
    <row r="73">
      <c r="A73" s="24" t="inlineStr">
        <is>
          <t>SCR-M29</t>
        </is>
      </c>
      <c r="B73" s="24" t="inlineStr">
        <is>
          <t>Android</t>
        </is>
      </c>
      <c r="C73" s="25" t="inlineStr">
        <is>
          <t>Owner Stack</t>
        </is>
      </c>
      <c r="D73" s="25" t="inlineStr">
        <is>
          <t>—</t>
        </is>
      </c>
      <c r="E73" s="25" t="inlineStr">
        <is>
          <t>Dịch vụ (xem nhanh)</t>
        </is>
      </c>
      <c r="F73" s="25" t="inlineStr">
        <is>
          <t>app/(owner)/services.tsx</t>
        </is>
      </c>
      <c r="G73" s="24" t="inlineStr">
        <is>
          <t>Đã có placeholder</t>
        </is>
      </c>
      <c r="H73" s="25" t="inlineStr">
        <is>
          <t>Danh sách</t>
        </is>
      </c>
      <c r="I73" s="25" t="inlineStr">
        <is>
          <t>—</t>
        </is>
      </c>
      <c r="J73" s="25" t="inlineStr">
        <is>
          <t>—</t>
        </is>
      </c>
      <c r="K73" s="25" t="inlineStr">
        <is>
          <t>Tên; Giá; Trạng thái</t>
        </is>
      </c>
      <c r="L73" s="25" t="inlineStr">
        <is>
          <t>Ngừng bán</t>
        </is>
      </c>
      <c r="M73" s="25" t="inlineStr">
        <is>
          <t>—</t>
        </is>
      </c>
      <c r="N73" s="25" t="inlineStr">
        <is>
          <t>UC-SPA-09</t>
        </is>
      </c>
      <c r="O73" s="25" t="inlineStr">
        <is>
          <t>OWN</t>
        </is>
      </c>
      <c r="P73" s="24" t="inlineStr">
        <is>
          <t>Sprint 3</t>
        </is>
      </c>
    </row>
    <row r="74">
      <c r="A74" s="26" t="inlineStr">
        <is>
          <t>SCR-M30</t>
        </is>
      </c>
      <c r="B74" s="26" t="inlineStr">
        <is>
          <t>Android</t>
        </is>
      </c>
      <c r="C74" s="27" t="inlineStr">
        <is>
          <t>Owner Stack</t>
        </is>
      </c>
      <c r="D74" s="27" t="inlineStr">
        <is>
          <t>—</t>
        </is>
      </c>
      <c r="E74" s="27" t="inlineStr">
        <is>
          <t>Nhân viên (xem nhanh)</t>
        </is>
      </c>
      <c r="F74" s="27" t="inlineStr">
        <is>
          <t>app/(owner)/staff.tsx</t>
        </is>
      </c>
      <c r="G74" s="26" t="inlineStr">
        <is>
          <t>Đã có placeholder</t>
        </is>
      </c>
      <c r="H74" s="27" t="inlineStr">
        <is>
          <t>Danh sách</t>
        </is>
      </c>
      <c r="I74" s="27" t="inlineStr">
        <is>
          <t>—</t>
        </is>
      </c>
      <c r="J74" s="27" t="inlineStr">
        <is>
          <t>—</t>
        </is>
      </c>
      <c r="K74" s="27" t="inlineStr">
        <is>
          <t>Tên; Ca hôm nay</t>
        </is>
      </c>
      <c r="L74" s="27" t="inlineStr">
        <is>
          <t>—</t>
        </is>
      </c>
      <c r="M74" s="27" t="inlineStr">
        <is>
          <t>—</t>
        </is>
      </c>
      <c r="N74" s="27" t="inlineStr">
        <is>
          <t>UC-SPA-22, 23</t>
        </is>
      </c>
      <c r="O74" s="27" t="inlineStr">
        <is>
          <t>OWN</t>
        </is>
      </c>
      <c r="P74" s="26" t="inlineStr">
        <is>
          <t>Sprint 3</t>
        </is>
      </c>
    </row>
    <row r="75">
      <c r="A75" s="24" t="inlineStr">
        <is>
          <t>SCR-M31</t>
        </is>
      </c>
      <c r="B75" s="24" t="inlineStr">
        <is>
          <t>Android</t>
        </is>
      </c>
      <c r="C75" s="25" t="inlineStr">
        <is>
          <t>Owner Stack</t>
        </is>
      </c>
      <c r="D75" s="25" t="inlineStr">
        <is>
          <t>—</t>
        </is>
      </c>
      <c r="E75" s="25" t="inlineStr">
        <is>
          <t>Lịch hẹn</t>
        </is>
      </c>
      <c r="F75" s="25" t="inlineStr">
        <is>
          <t>app/(owner)/bookings.tsx</t>
        </is>
      </c>
      <c r="G75" s="24" t="inlineStr">
        <is>
          <t>Đã có placeholder</t>
        </is>
      </c>
      <c r="H75" s="25" t="inlineStr">
        <is>
          <t>Danh sách theo ngày</t>
        </is>
      </c>
      <c r="I75" s="25" t="inlineStr">
        <is>
          <t>—</t>
        </is>
      </c>
      <c r="J75" s="25" t="inlineStr">
        <is>
          <t>Ngày; Nhân viên</t>
        </is>
      </c>
      <c r="K75" s="25" t="inlineStr">
        <is>
          <t>Giờ; Khách; Nhân viên; Trạng thái</t>
        </is>
      </c>
      <c r="L75" s="25" t="inlineStr">
        <is>
          <t>Xác nhận; Hủy; Đổi nhân viên</t>
        </is>
      </c>
      <c r="M75" s="25" t="inlineStr">
        <is>
          <t>—</t>
        </is>
      </c>
      <c r="N75" s="25" t="inlineStr">
        <is>
          <t>UC-SPA-17</t>
        </is>
      </c>
      <c r="O75" s="25" t="inlineStr">
        <is>
          <t>OWN</t>
        </is>
      </c>
      <c r="P75" s="24" t="inlineStr">
        <is>
          <t>Sprint 3</t>
        </is>
      </c>
    </row>
    <row r="76">
      <c r="A76" s="26" t="inlineStr">
        <is>
          <t>SCR-M32</t>
        </is>
      </c>
      <c r="B76" s="26" t="inlineStr">
        <is>
          <t>Android</t>
        </is>
      </c>
      <c r="C76" s="27" t="inlineStr">
        <is>
          <t>Owner Stack</t>
        </is>
      </c>
      <c r="D76" s="27" t="inlineStr">
        <is>
          <t>—</t>
        </is>
      </c>
      <c r="E76" s="27" t="inlineStr">
        <is>
          <t>Báo cáo</t>
        </is>
      </c>
      <c r="F76" s="27" t="inlineStr">
        <is>
          <t>app/(owner)/reports.tsx</t>
        </is>
      </c>
      <c r="G76" s="26" t="inlineStr">
        <is>
          <t>Đã có placeholder</t>
        </is>
      </c>
      <c r="H76" s="27" t="inlineStr">
        <is>
          <t>Biểu đồ</t>
        </is>
      </c>
      <c r="I76" s="27" t="inlineStr">
        <is>
          <t>—</t>
        </is>
      </c>
      <c r="J76" s="27" t="inlineStr">
        <is>
          <t>Tháng/quý/năm</t>
        </is>
      </c>
      <c r="K76" s="27" t="inlineStr">
        <is>
          <t>Doanh thu</t>
        </is>
      </c>
      <c r="L76" s="27" t="inlineStr">
        <is>
          <t>—</t>
        </is>
      </c>
      <c r="M76" s="27" t="inlineStr">
        <is>
          <t>—</t>
        </is>
      </c>
      <c r="N76" s="27" t="inlineStr">
        <is>
          <t>UC-SPA-33</t>
        </is>
      </c>
      <c r="O76" s="27" t="inlineStr">
        <is>
          <t>OWN</t>
        </is>
      </c>
      <c r="P76" s="26" t="inlineStr">
        <is>
          <t>Sprint 3</t>
        </is>
      </c>
    </row>
  </sheetData>
  <autoFilter ref="A4:P76"/>
  <mergeCells count="3">
    <mergeCell ref="A1:P1"/>
    <mergeCell ref="A3:P3"/>
    <mergeCell ref="A2:P2"/>
  </mergeCells>
  <conditionalFormatting sqref="G5:G76">
    <cfRule type="expression" priority="1" dxfId="2">
      <formula>G5&lt;&gt;"Đã có placeholder"</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20"/>
  <sheetViews>
    <sheetView zoomScale="90" workbookViewId="0">
      <pane xSplit="6" ySplit="4" topLeftCell="G5"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22" customWidth="1" min="3" max="3"/>
    <col width="34" customWidth="1" min="4" max="4"/>
    <col width="9" customWidth="1" min="5" max="5"/>
    <col width="46" customWidth="1" min="6" max="6"/>
    <col width="11" customWidth="1" min="7" max="7"/>
    <col width="20" customWidth="1" min="8" max="8"/>
    <col width="30" customWidth="1" min="9" max="9"/>
    <col width="20" customWidth="1" min="10" max="10"/>
    <col width="56" customWidth="1" min="11" max="11"/>
    <col width="56" customWidth="1" min="12" max="12"/>
    <col width="8" customWidth="1" min="13" max="13"/>
    <col width="40" customWidth="1" min="14" max="14"/>
    <col width="11" customWidth="1" min="15" max="15"/>
  </cols>
  <sheetData>
    <row r="1" ht="26" customHeight="1">
      <c r="A1" s="1" t="inlineStr">
        <is>
          <t>12 · DANH MỤC API ENDPOINTS</t>
        </is>
      </c>
    </row>
    <row r="2">
      <c r="A2" s="2" t="inlineStr">
        <is>
          <t>116 endpoint · base /api/v1 · envelope {success, message, data, errors, traceId}</t>
        </is>
      </c>
    </row>
    <row r="3" ht="30" customHeight="1">
      <c r="A3" s="3" t="inlineStr">
        <is>
          <t>Đặc tả đề xuất, chưa triển khai. Tên trường JSON theo thuộc tính DA (camelCase). ALL = mọi người kể cả khách vãng lai.</t>
        </is>
      </c>
    </row>
    <row r="4" ht="32" customHeight="1">
      <c r="A4" s="4" t="inlineStr">
        <is>
          <t>ID API</t>
        </is>
      </c>
      <c r="B4" s="4" t="inlineStr">
        <is>
          <t>Mã nhóm</t>
        </is>
      </c>
      <c r="C4" s="4" t="inlineStr">
        <is>
          <t>Nghiệp vụ</t>
        </is>
      </c>
      <c r="D4" s="4" t="inlineStr">
        <is>
          <t>Hành động</t>
        </is>
      </c>
      <c r="E4" s="4" t="inlineStr">
        <is>
          <t>Method</t>
        </is>
      </c>
      <c r="F4" s="4" t="inlineStr">
        <is>
          <t>Endpoint</t>
        </is>
      </c>
      <c r="G4" s="4" t="inlineStr">
        <is>
          <t>Loại</t>
        </is>
      </c>
      <c r="H4" s="4" t="inlineStr">
        <is>
          <t>UC</t>
        </is>
      </c>
      <c r="I4" s="4" t="inlineStr">
        <is>
          <t>Màn hình</t>
        </is>
      </c>
      <c r="J4" s="4" t="inlineStr">
        <is>
          <t>Vai trò</t>
        </is>
      </c>
      <c r="K4" s="4" t="inlineStr">
        <is>
          <t>Request</t>
        </is>
      </c>
      <c r="L4" s="4" t="inlineStr">
        <is>
          <t>Response</t>
        </is>
      </c>
      <c r="M4" s="4" t="inlineStr">
        <is>
          <t>HTTP</t>
        </is>
      </c>
      <c r="N4" s="4" t="inlineStr">
        <is>
          <t>Ghi chú</t>
        </is>
      </c>
      <c r="O4" s="4" t="inlineStr">
        <is>
          <t>Trạng thái</t>
        </is>
      </c>
    </row>
    <row r="5">
      <c r="A5" s="24" t="inlineStr">
        <is>
          <t>SPA-API-001</t>
        </is>
      </c>
      <c r="B5" s="24" t="inlineStr">
        <is>
          <t>AUTH</t>
        </is>
      </c>
      <c r="C5" s="25" t="inlineStr">
        <is>
          <t>Tài khoản &amp; xác thực</t>
        </is>
      </c>
      <c r="D5" s="25" t="inlineStr">
        <is>
          <t>Đăng ký — gửi OTP</t>
        </is>
      </c>
      <c r="E5" s="24" t="inlineStr">
        <is>
          <t>POST</t>
        </is>
      </c>
      <c r="F5" s="25" t="inlineStr">
        <is>
          <t>/api/v1/auth/register/request-otp</t>
        </is>
      </c>
      <c r="G5" s="24" t="inlineStr">
        <is>
          <t>Command</t>
        </is>
      </c>
      <c r="H5" s="25" t="inlineStr">
        <is>
          <t>UC-SPA-01</t>
        </is>
      </c>
      <c r="I5" s="25" t="inlineStr">
        <is>
          <t>SCR-W08, SCR-M07</t>
        </is>
      </c>
      <c r="J5" s="25" t="inlineStr">
        <is>
          <t>GUEST</t>
        </is>
      </c>
      <c r="K5" s="25" t="inlineStr">
        <is>
          <t>{hoTen, email, sdt, matKhau, xacNhanMatKhau}</t>
        </is>
      </c>
      <c r="L5" s="25" t="inlineStr">
        <is>
          <t>{email, hetHanLuc}</t>
        </is>
      </c>
      <c r="M5" s="24" t="inlineStr">
        <is>
          <t>202</t>
        </is>
      </c>
      <c r="N5" s="25" t="inlineStr">
        <is>
          <t>Lưu MaOtp(DangKy) + dữ liệu đăng ký chờ; 409 EMAIL_EXISTS / PHONE_EXISTS</t>
        </is>
      </c>
      <c r="O5" s="24" t="inlineStr">
        <is>
          <t>Đề xuất</t>
        </is>
      </c>
    </row>
    <row r="6">
      <c r="A6" s="26" t="inlineStr">
        <is>
          <t>SPA-API-002</t>
        </is>
      </c>
      <c r="B6" s="26" t="inlineStr">
        <is>
          <t>AUTH</t>
        </is>
      </c>
      <c r="C6" s="27" t="inlineStr">
        <is>
          <t>Tài khoản &amp; xác thực</t>
        </is>
      </c>
      <c r="D6" s="27" t="inlineStr">
        <is>
          <t>Đăng ký — xác thực OTP</t>
        </is>
      </c>
      <c r="E6" s="26" t="inlineStr">
        <is>
          <t>POST</t>
        </is>
      </c>
      <c r="F6" s="27" t="inlineStr">
        <is>
          <t>/api/v1/auth/register/verify-otp</t>
        </is>
      </c>
      <c r="G6" s="26" t="inlineStr">
        <is>
          <t>Command</t>
        </is>
      </c>
      <c r="H6" s="27" t="inlineStr">
        <is>
          <t>UC-SPA-01</t>
        </is>
      </c>
      <c r="I6" s="27" t="inlineStr">
        <is>
          <t>SCR-W08, SCR-M07</t>
        </is>
      </c>
      <c r="J6" s="27" t="inlineStr">
        <is>
          <t>GUEST</t>
        </is>
      </c>
      <c r="K6" s="27" t="inlineStr">
        <is>
          <t>{email, otp}</t>
        </is>
      </c>
      <c r="L6" s="27" t="inlineStr">
        <is>
          <t>{maNguoiDung}</t>
        </is>
      </c>
      <c r="M6" s="26" t="inlineStr">
        <is>
          <t>201</t>
        </is>
      </c>
      <c r="N6" s="27" t="inlineStr">
        <is>
          <t>Tạo NguoiDung(KhachHang) + KhachHang; 400 OTP_INVALID / OTP_EXPIRED</t>
        </is>
      </c>
      <c r="O6" s="26" t="inlineStr">
        <is>
          <t>Đề xuất</t>
        </is>
      </c>
    </row>
    <row r="7">
      <c r="A7" s="24" t="inlineStr">
        <is>
          <t>SPA-API-003</t>
        </is>
      </c>
      <c r="B7" s="24" t="inlineStr">
        <is>
          <t>AUTH</t>
        </is>
      </c>
      <c r="C7" s="25" t="inlineStr">
        <is>
          <t>Tài khoản &amp; xác thực</t>
        </is>
      </c>
      <c r="D7" s="25" t="inlineStr">
        <is>
          <t>Đăng nhập</t>
        </is>
      </c>
      <c r="E7" s="24" t="inlineStr">
        <is>
          <t>POST</t>
        </is>
      </c>
      <c r="F7" s="25" t="inlineStr">
        <is>
          <t>/api/v1/auth/login</t>
        </is>
      </c>
      <c r="G7" s="24" t="inlineStr">
        <is>
          <t>Command</t>
        </is>
      </c>
      <c r="H7" s="25" t="inlineStr">
        <is>
          <t>UC-SPA-02</t>
        </is>
      </c>
      <c r="I7" s="25" t="inlineStr">
        <is>
          <t>SCR-W07, SCR-M06</t>
        </is>
      </c>
      <c r="J7" s="25" t="inlineStr">
        <is>
          <t>GUEST</t>
        </is>
      </c>
      <c r="K7" s="25" t="inlineStr">
        <is>
          <t>{tenDangNhap (email|sdt), matKhau}</t>
        </is>
      </c>
      <c r="L7" s="25" t="inlineStr">
        <is>
          <t>{accessToken, expiresIn, nguoiDung{maNguoiDung, hoTen, vaiTro}}</t>
        </is>
      </c>
      <c r="M7" s="24" t="inlineStr">
        <is>
          <t>200</t>
        </is>
      </c>
      <c r="N7" s="25" t="inlineStr">
        <is>
          <t>403 ACCOUNT_LOCKED khi TrangThai ≠ HoatDong</t>
        </is>
      </c>
      <c r="O7" s="24" t="inlineStr">
        <is>
          <t>Đề xuất</t>
        </is>
      </c>
    </row>
    <row r="8">
      <c r="A8" s="26" t="inlineStr">
        <is>
          <t>SPA-API-004</t>
        </is>
      </c>
      <c r="B8" s="26" t="inlineStr">
        <is>
          <t>AUTH</t>
        </is>
      </c>
      <c r="C8" s="27" t="inlineStr">
        <is>
          <t>Tài khoản &amp; xác thực</t>
        </is>
      </c>
      <c r="D8" s="27" t="inlineStr">
        <is>
          <t>Làm mới phiên</t>
        </is>
      </c>
      <c r="E8" s="26" t="inlineStr">
        <is>
          <t>POST</t>
        </is>
      </c>
      <c r="F8" s="27" t="inlineStr">
        <is>
          <t>/api/v1/auth/refresh</t>
        </is>
      </c>
      <c r="G8" s="26" t="inlineStr">
        <is>
          <t>Command</t>
        </is>
      </c>
      <c r="H8" s="27" t="inlineStr">
        <is>
          <t>UC-SPA-02</t>
        </is>
      </c>
      <c r="I8" s="27" t="inlineStr">
        <is>
          <t>—</t>
        </is>
      </c>
      <c r="J8" s="27" t="inlineStr">
        <is>
          <t>CUS, STF, OWN</t>
        </is>
      </c>
      <c r="K8" s="27" t="inlineStr">
        <is>
          <t>{refreshToken} (web: cookie HttpOnly)</t>
        </is>
      </c>
      <c r="L8" s="27" t="inlineStr">
        <is>
          <t>{accessToken, expiresIn}</t>
        </is>
      </c>
      <c r="M8" s="26" t="inlineStr">
        <is>
          <t>200</t>
        </is>
      </c>
      <c r="N8" s="27" t="inlineStr">
        <is>
          <t>Xoay vòng RefreshToken</t>
        </is>
      </c>
      <c r="O8" s="26" t="inlineStr">
        <is>
          <t>Đề xuất</t>
        </is>
      </c>
    </row>
    <row r="9">
      <c r="A9" s="24" t="inlineStr">
        <is>
          <t>SPA-API-005</t>
        </is>
      </c>
      <c r="B9" s="24" t="inlineStr">
        <is>
          <t>AUTH</t>
        </is>
      </c>
      <c r="C9" s="25" t="inlineStr">
        <is>
          <t>Tài khoản &amp; xác thực</t>
        </is>
      </c>
      <c r="D9" s="25" t="inlineStr">
        <is>
          <t>Đăng xuất</t>
        </is>
      </c>
      <c r="E9" s="24" t="inlineStr">
        <is>
          <t>POST</t>
        </is>
      </c>
      <c r="F9" s="25" t="inlineStr">
        <is>
          <t>/api/v1/auth/logout</t>
        </is>
      </c>
      <c r="G9" s="24" t="inlineStr">
        <is>
          <t>Command</t>
        </is>
      </c>
      <c r="H9" s="25" t="inlineStr">
        <is>
          <t>UC-SPA-02</t>
        </is>
      </c>
      <c r="I9" s="25" t="inlineStr">
        <is>
          <t>SCR-W22, SCR-M15</t>
        </is>
      </c>
      <c r="J9" s="25" t="inlineStr">
        <is>
          <t>CUS, STF, OWN</t>
        </is>
      </c>
      <c r="K9" s="25" t="inlineStr">
        <is>
          <t>—</t>
        </is>
      </c>
      <c r="L9" s="25" t="inlineStr">
        <is>
          <t>—</t>
        </is>
      </c>
      <c r="M9" s="24" t="inlineStr">
        <is>
          <t>204</t>
        </is>
      </c>
      <c r="N9" s="25" t="inlineStr"/>
      <c r="O9" s="24" t="inlineStr">
        <is>
          <t>Đề xuất</t>
        </is>
      </c>
    </row>
    <row r="10">
      <c r="A10" s="26" t="inlineStr">
        <is>
          <t>SPA-API-006</t>
        </is>
      </c>
      <c r="B10" s="26" t="inlineStr">
        <is>
          <t>AUTH</t>
        </is>
      </c>
      <c r="C10" s="27" t="inlineStr">
        <is>
          <t>Tài khoản &amp; xác thực</t>
        </is>
      </c>
      <c r="D10" s="27" t="inlineStr">
        <is>
          <t>Quên mật khẩu — gửi OTP</t>
        </is>
      </c>
      <c r="E10" s="26" t="inlineStr">
        <is>
          <t>POST</t>
        </is>
      </c>
      <c r="F10" s="27" t="inlineStr">
        <is>
          <t>/api/v1/auth/forgot-password/request-otp</t>
        </is>
      </c>
      <c r="G10" s="26" t="inlineStr">
        <is>
          <t>Command</t>
        </is>
      </c>
      <c r="H10" s="27" t="inlineStr">
        <is>
          <t>UC-SPA-03</t>
        </is>
      </c>
      <c r="I10" s="27" t="inlineStr">
        <is>
          <t>SCR-W09, SCR-M08</t>
        </is>
      </c>
      <c r="J10" s="27" t="inlineStr">
        <is>
          <t>GUEST</t>
        </is>
      </c>
      <c r="K10" s="27" t="inlineStr">
        <is>
          <t>{email}</t>
        </is>
      </c>
      <c r="L10" s="27" t="inlineStr">
        <is>
          <t>{hetHanLuc}</t>
        </is>
      </c>
      <c r="M10" s="26" t="inlineStr">
        <is>
          <t>202</t>
        </is>
      </c>
      <c r="N10" s="27" t="inlineStr">
        <is>
          <t>DA E1: email không tồn tại → thông báo (cân nhắc trả chung để tránh dò tài khoản)</t>
        </is>
      </c>
      <c r="O10" s="26" t="inlineStr">
        <is>
          <t>Đề xuất</t>
        </is>
      </c>
    </row>
    <row r="11">
      <c r="A11" s="24" t="inlineStr">
        <is>
          <t>SPA-API-007</t>
        </is>
      </c>
      <c r="B11" s="24" t="inlineStr">
        <is>
          <t>AUTH</t>
        </is>
      </c>
      <c r="C11" s="25" t="inlineStr">
        <is>
          <t>Tài khoản &amp; xác thực</t>
        </is>
      </c>
      <c r="D11" s="25" t="inlineStr">
        <is>
          <t>Quên mật khẩu — xác thực OTP</t>
        </is>
      </c>
      <c r="E11" s="24" t="inlineStr">
        <is>
          <t>POST</t>
        </is>
      </c>
      <c r="F11" s="25" t="inlineStr">
        <is>
          <t>/api/v1/auth/forgot-password/verify-otp</t>
        </is>
      </c>
      <c r="G11" s="24" t="inlineStr">
        <is>
          <t>Command</t>
        </is>
      </c>
      <c r="H11" s="25" t="inlineStr">
        <is>
          <t>UC-SPA-03</t>
        </is>
      </c>
      <c r="I11" s="25" t="inlineStr">
        <is>
          <t>SCR-W09, SCR-M08</t>
        </is>
      </c>
      <c r="J11" s="25" t="inlineStr">
        <is>
          <t>GUEST</t>
        </is>
      </c>
      <c r="K11" s="25" t="inlineStr">
        <is>
          <t>{email, otp}</t>
        </is>
      </c>
      <c r="L11" s="25" t="inlineStr">
        <is>
          <t>{resetToken (ngắn hạn)}</t>
        </is>
      </c>
      <c r="M11" s="24" t="inlineStr">
        <is>
          <t>200</t>
        </is>
      </c>
      <c r="N11" s="25" t="inlineStr"/>
      <c r="O11" s="24" t="inlineStr">
        <is>
          <t>Đề xuất</t>
        </is>
      </c>
    </row>
    <row r="12">
      <c r="A12" s="26" t="inlineStr">
        <is>
          <t>SPA-API-008</t>
        </is>
      </c>
      <c r="B12" s="26" t="inlineStr">
        <is>
          <t>AUTH</t>
        </is>
      </c>
      <c r="C12" s="27" t="inlineStr">
        <is>
          <t>Tài khoản &amp; xác thực</t>
        </is>
      </c>
      <c r="D12" s="27" t="inlineStr">
        <is>
          <t>Quên mật khẩu — đặt mật khẩu mới</t>
        </is>
      </c>
      <c r="E12" s="26" t="inlineStr">
        <is>
          <t>POST</t>
        </is>
      </c>
      <c r="F12" s="27" t="inlineStr">
        <is>
          <t>/api/v1/auth/forgot-password/reset</t>
        </is>
      </c>
      <c r="G12" s="26" t="inlineStr">
        <is>
          <t>Command</t>
        </is>
      </c>
      <c r="H12" s="27" t="inlineStr">
        <is>
          <t>UC-SPA-03</t>
        </is>
      </c>
      <c r="I12" s="27" t="inlineStr">
        <is>
          <t>SCR-W09, SCR-M08</t>
        </is>
      </c>
      <c r="J12" s="27" t="inlineStr">
        <is>
          <t>GUEST</t>
        </is>
      </c>
      <c r="K12" s="27" t="inlineStr">
        <is>
          <t>{resetToken, matKhauMoi, xacNhanMatKhau}</t>
        </is>
      </c>
      <c r="L12" s="27" t="inlineStr">
        <is>
          <t>—</t>
        </is>
      </c>
      <c r="M12" s="26" t="inlineStr">
        <is>
          <t>204</t>
        </is>
      </c>
      <c r="N12" s="27" t="inlineStr">
        <is>
          <t>Thu hồi mọi RefreshToken</t>
        </is>
      </c>
      <c r="O12" s="26" t="inlineStr">
        <is>
          <t>Đề xuất</t>
        </is>
      </c>
    </row>
    <row r="13">
      <c r="A13" s="24" t="inlineStr">
        <is>
          <t>SPA-API-009</t>
        </is>
      </c>
      <c r="B13" s="24" t="inlineStr">
        <is>
          <t>AUTH</t>
        </is>
      </c>
      <c r="C13" s="25" t="inlineStr">
        <is>
          <t>Tài khoản &amp; xác thực</t>
        </is>
      </c>
      <c r="D13" s="25" t="inlineStr">
        <is>
          <t>Thông tin tài khoản của tôi</t>
        </is>
      </c>
      <c r="E13" s="24" t="inlineStr">
        <is>
          <t>GET</t>
        </is>
      </c>
      <c r="F13" s="25" t="inlineStr">
        <is>
          <t>/api/v1/me</t>
        </is>
      </c>
      <c r="G13" s="24" t="inlineStr">
        <is>
          <t>Query</t>
        </is>
      </c>
      <c r="H13" s="25" t="inlineStr">
        <is>
          <t>UC-SPA-04</t>
        </is>
      </c>
      <c r="I13" s="25" t="inlineStr">
        <is>
          <t>SCR-W22, SCR-M15</t>
        </is>
      </c>
      <c r="J13" s="25" t="inlineStr">
        <is>
          <t>CUS, STF, OWN</t>
        </is>
      </c>
      <c r="K13" s="25" t="inlineStr">
        <is>
          <t>—</t>
        </is>
      </c>
      <c r="L13" s="25" t="inlineStr">
        <is>
          <t>MeDto{maNguoiDung, hoTen, email, sdt, vaiTro, anhDaiDien, ngaySinh, gioiTinh}</t>
        </is>
      </c>
      <c r="M13" s="24" t="inlineStr">
        <is>
          <t>200</t>
        </is>
      </c>
      <c r="N13" s="25" t="inlineStr"/>
      <c r="O13" s="24" t="inlineStr">
        <is>
          <t>Đề xuất</t>
        </is>
      </c>
    </row>
    <row r="14">
      <c r="A14" s="26" t="inlineStr">
        <is>
          <t>SPA-API-010</t>
        </is>
      </c>
      <c r="B14" s="26" t="inlineStr">
        <is>
          <t>AUTH</t>
        </is>
      </c>
      <c r="C14" s="27" t="inlineStr">
        <is>
          <t>Tài khoản &amp; xác thực</t>
        </is>
      </c>
      <c r="D14" s="27" t="inlineStr">
        <is>
          <t>Cập nhật thông tin tài khoản</t>
        </is>
      </c>
      <c r="E14" s="26" t="inlineStr">
        <is>
          <t>PUT</t>
        </is>
      </c>
      <c r="F14" s="27" t="inlineStr">
        <is>
          <t>/api/v1/me</t>
        </is>
      </c>
      <c r="G14" s="26" t="inlineStr">
        <is>
          <t>Command</t>
        </is>
      </c>
      <c r="H14" s="27" t="inlineStr">
        <is>
          <t>UC-SPA-04</t>
        </is>
      </c>
      <c r="I14" s="27" t="inlineStr">
        <is>
          <t>SCR-W22, SCR-M15</t>
        </is>
      </c>
      <c r="J14" s="27" t="inlineStr">
        <is>
          <t>CUS, STF, OWN</t>
        </is>
      </c>
      <c r="K14" s="27" t="inlineStr">
        <is>
          <t>{hoTen, sdt, ngaySinh, gioiTinh}</t>
        </is>
      </c>
      <c r="L14" s="27" t="inlineStr">
        <is>
          <t>MeDto</t>
        </is>
      </c>
      <c r="M14" s="26" t="inlineStr">
        <is>
          <t>200</t>
        </is>
      </c>
      <c r="N14" s="27" t="inlineStr">
        <is>
          <t>409 PHONE_EXISTS</t>
        </is>
      </c>
      <c r="O14" s="26" t="inlineStr">
        <is>
          <t>Đề xuất</t>
        </is>
      </c>
    </row>
    <row r="15">
      <c r="A15" s="24" t="inlineStr">
        <is>
          <t>SPA-API-011</t>
        </is>
      </c>
      <c r="B15" s="24" t="inlineStr">
        <is>
          <t>AUTH</t>
        </is>
      </c>
      <c r="C15" s="25" t="inlineStr">
        <is>
          <t>Tài khoản &amp; xác thực</t>
        </is>
      </c>
      <c r="D15" s="25" t="inlineStr">
        <is>
          <t>Đổi mật khẩu</t>
        </is>
      </c>
      <c r="E15" s="24" t="inlineStr">
        <is>
          <t>PUT</t>
        </is>
      </c>
      <c r="F15" s="25" t="inlineStr">
        <is>
          <t>/api/v1/me/password</t>
        </is>
      </c>
      <c r="G15" s="24" t="inlineStr">
        <is>
          <t>Command</t>
        </is>
      </c>
      <c r="H15" s="25" t="inlineStr">
        <is>
          <t>UC-SPA-04</t>
        </is>
      </c>
      <c r="I15" s="25" t="inlineStr">
        <is>
          <t>SCR-W22</t>
        </is>
      </c>
      <c r="J15" s="25" t="inlineStr">
        <is>
          <t>CUS, STF, OWN</t>
        </is>
      </c>
      <c r="K15" s="25" t="inlineStr">
        <is>
          <t>{matKhauCu, matKhauMoi}</t>
        </is>
      </c>
      <c r="L15" s="25" t="inlineStr">
        <is>
          <t>—</t>
        </is>
      </c>
      <c r="M15" s="24" t="inlineStr">
        <is>
          <t>204</t>
        </is>
      </c>
      <c r="N15" s="25" t="inlineStr"/>
      <c r="O15" s="24" t="inlineStr">
        <is>
          <t>Đề xuất</t>
        </is>
      </c>
    </row>
    <row r="16">
      <c r="A16" s="26" t="inlineStr">
        <is>
          <t>SPA-API-012</t>
        </is>
      </c>
      <c r="B16" s="26" t="inlineStr">
        <is>
          <t>AUTH</t>
        </is>
      </c>
      <c r="C16" s="27" t="inlineStr">
        <is>
          <t>Tài khoản &amp; xác thực</t>
        </is>
      </c>
      <c r="D16" s="27" t="inlineStr">
        <is>
          <t>Đổi ảnh đại diện</t>
        </is>
      </c>
      <c r="E16" s="26" t="inlineStr">
        <is>
          <t>POST</t>
        </is>
      </c>
      <c r="F16" s="27" t="inlineStr">
        <is>
          <t>/api/v1/me/avatar</t>
        </is>
      </c>
      <c r="G16" s="26" t="inlineStr">
        <is>
          <t>Upload</t>
        </is>
      </c>
      <c r="H16" s="27" t="inlineStr">
        <is>
          <t>UC-SPA-04</t>
        </is>
      </c>
      <c r="I16" s="27" t="inlineStr">
        <is>
          <t>SCR-W22, SCR-M15</t>
        </is>
      </c>
      <c r="J16" s="27" t="inlineStr">
        <is>
          <t>CUS, STF, OWN</t>
        </is>
      </c>
      <c r="K16" s="27" t="inlineStr">
        <is>
          <t>multipart file (≤ 5MB, jpg/png/webp)</t>
        </is>
      </c>
      <c r="L16" s="27" t="inlineStr">
        <is>
          <t>{anhDaiDien}</t>
        </is>
      </c>
      <c r="M16" s="26" t="inlineStr">
        <is>
          <t>200</t>
        </is>
      </c>
      <c r="N16" s="27" t="inlineStr"/>
      <c r="O16" s="26" t="inlineStr">
        <is>
          <t>Đề xuất</t>
        </is>
      </c>
    </row>
    <row r="17">
      <c r="A17" s="24" t="inlineStr">
        <is>
          <t>SPA-API-013</t>
        </is>
      </c>
      <c r="B17" s="24" t="inlineStr">
        <is>
          <t>AUTH</t>
        </is>
      </c>
      <c r="C17" s="25" t="inlineStr">
        <is>
          <t>Tài khoản &amp; xác thực</t>
        </is>
      </c>
      <c r="D17" s="25" t="inlineStr">
        <is>
          <t>Danh sách tài khoản</t>
        </is>
      </c>
      <c r="E17" s="24" t="inlineStr">
        <is>
          <t>GET</t>
        </is>
      </c>
      <c r="F17" s="25" t="inlineStr">
        <is>
          <t>/api/v1/users</t>
        </is>
      </c>
      <c r="G17" s="24" t="inlineStr">
        <is>
          <t>Query</t>
        </is>
      </c>
      <c r="H17" s="25" t="inlineStr">
        <is>
          <t>UC-SPA-05</t>
        </is>
      </c>
      <c r="I17" s="25" t="inlineStr">
        <is>
          <t>SCR-W40</t>
        </is>
      </c>
      <c r="J17" s="25" t="inlineStr">
        <is>
          <t>OWN</t>
        </is>
      </c>
      <c r="K17" s="25" t="inlineStr">
        <is>
          <t>?q&amp;vaiTro&amp;trangThai&amp;page&amp;pageSize</t>
        </is>
      </c>
      <c r="L17" s="25" t="inlineStr">
        <is>
          <t>PagedResult&lt;UserListItemDto&gt;</t>
        </is>
      </c>
      <c r="M17" s="24" t="inlineStr">
        <is>
          <t>200</t>
        </is>
      </c>
      <c r="N17" s="25" t="inlineStr"/>
      <c r="O17" s="24" t="inlineStr">
        <is>
          <t>Đề xuất</t>
        </is>
      </c>
    </row>
    <row r="18">
      <c r="A18" s="26" t="inlineStr">
        <is>
          <t>SPA-API-014</t>
        </is>
      </c>
      <c r="B18" s="26" t="inlineStr">
        <is>
          <t>AUTH</t>
        </is>
      </c>
      <c r="C18" s="27" t="inlineStr">
        <is>
          <t>Tài khoản &amp; xác thực</t>
        </is>
      </c>
      <c r="D18" s="27" t="inlineStr">
        <is>
          <t>Chi tiết tài khoản</t>
        </is>
      </c>
      <c r="E18" s="26" t="inlineStr">
        <is>
          <t>GET</t>
        </is>
      </c>
      <c r="F18" s="27" t="inlineStr">
        <is>
          <t>/api/v1/users/{id}</t>
        </is>
      </c>
      <c r="G18" s="26" t="inlineStr">
        <is>
          <t>Query</t>
        </is>
      </c>
      <c r="H18" s="27" t="inlineStr">
        <is>
          <t>UC-SPA-05</t>
        </is>
      </c>
      <c r="I18" s="27" t="inlineStr">
        <is>
          <t>SCR-W40</t>
        </is>
      </c>
      <c r="J18" s="27" t="inlineStr">
        <is>
          <t>OWN</t>
        </is>
      </c>
      <c r="K18" s="27" t="inlineStr">
        <is>
          <t>—</t>
        </is>
      </c>
      <c r="L18" s="27" t="inlineStr">
        <is>
          <t>UserDetailDto</t>
        </is>
      </c>
      <c r="M18" s="26" t="inlineStr">
        <is>
          <t>200</t>
        </is>
      </c>
      <c r="N18" s="27" t="inlineStr"/>
      <c r="O18" s="26" t="inlineStr">
        <is>
          <t>Đề xuất</t>
        </is>
      </c>
    </row>
    <row r="19">
      <c r="A19" s="24" t="inlineStr">
        <is>
          <t>SPA-API-015</t>
        </is>
      </c>
      <c r="B19" s="24" t="inlineStr">
        <is>
          <t>AUTH</t>
        </is>
      </c>
      <c r="C19" s="25" t="inlineStr">
        <is>
          <t>Tài khoản &amp; xác thực</t>
        </is>
      </c>
      <c r="D19" s="25" t="inlineStr">
        <is>
          <t>Sửa tài khoản</t>
        </is>
      </c>
      <c r="E19" s="24" t="inlineStr">
        <is>
          <t>PUT</t>
        </is>
      </c>
      <c r="F19" s="25" t="inlineStr">
        <is>
          <t>/api/v1/users/{id}</t>
        </is>
      </c>
      <c r="G19" s="24" t="inlineStr">
        <is>
          <t>Command</t>
        </is>
      </c>
      <c r="H19" s="25" t="inlineStr">
        <is>
          <t>UC-SPA-05</t>
        </is>
      </c>
      <c r="I19" s="25" t="inlineStr">
        <is>
          <t>SCR-W40</t>
        </is>
      </c>
      <c r="J19" s="25" t="inlineStr">
        <is>
          <t>OWN</t>
        </is>
      </c>
      <c r="K19" s="25" t="inlineStr">
        <is>
          <t>{hoTen, sdt, ngaySinh, gioiTinh}</t>
        </is>
      </c>
      <c r="L19" s="25" t="inlineStr">
        <is>
          <t>UserDetailDto</t>
        </is>
      </c>
      <c r="M19" s="24" t="inlineStr">
        <is>
          <t>200</t>
        </is>
      </c>
      <c r="N19" s="25" t="inlineStr"/>
      <c r="O19" s="24" t="inlineStr">
        <is>
          <t>Đề xuất</t>
        </is>
      </c>
    </row>
    <row r="20">
      <c r="A20" s="26" t="inlineStr">
        <is>
          <t>SPA-API-016</t>
        </is>
      </c>
      <c r="B20" s="26" t="inlineStr">
        <is>
          <t>AUTH</t>
        </is>
      </c>
      <c r="C20" s="27" t="inlineStr">
        <is>
          <t>Tài khoản &amp; xác thực</t>
        </is>
      </c>
      <c r="D20" s="27" t="inlineStr">
        <is>
          <t>Khóa / mở khóa tài khoản</t>
        </is>
      </c>
      <c r="E20" s="26" t="inlineStr">
        <is>
          <t>PATCH</t>
        </is>
      </c>
      <c r="F20" s="27" t="inlineStr">
        <is>
          <t>/api/v1/users/{id}/status</t>
        </is>
      </c>
      <c r="G20" s="26" t="inlineStr">
        <is>
          <t>Command</t>
        </is>
      </c>
      <c r="H20" s="27" t="inlineStr">
        <is>
          <t>UC-SPA-05</t>
        </is>
      </c>
      <c r="I20" s="27" t="inlineStr">
        <is>
          <t>SCR-W40</t>
        </is>
      </c>
      <c r="J20" s="27" t="inlineStr">
        <is>
          <t>OWN</t>
        </is>
      </c>
      <c r="K20" s="27" t="inlineStr">
        <is>
          <t>{trangThai: HoatDong|BiKhoa}</t>
        </is>
      </c>
      <c r="L20" s="27" t="inlineStr">
        <is>
          <t>—</t>
        </is>
      </c>
      <c r="M20" s="26" t="inlineStr">
        <is>
          <t>204</t>
        </is>
      </c>
      <c r="N20" s="27" t="inlineStr">
        <is>
          <t>Khóa → thu hồi RefreshToken; không tự khóa mình</t>
        </is>
      </c>
      <c r="O20" s="26" t="inlineStr">
        <is>
          <t>Đề xuất</t>
        </is>
      </c>
    </row>
    <row r="21">
      <c r="A21" s="24" t="inlineStr">
        <is>
          <t>SPA-API-017</t>
        </is>
      </c>
      <c r="B21" s="24" t="inlineStr">
        <is>
          <t>CAT</t>
        </is>
      </c>
      <c r="C21" s="25" t="inlineStr">
        <is>
          <t>Dịch vụ &amp; gói dịch vụ</t>
        </is>
      </c>
      <c r="D21" s="25" t="inlineStr">
        <is>
          <t>Tìm kiếm dịch vụ</t>
        </is>
      </c>
      <c r="E21" s="24" t="inlineStr">
        <is>
          <t>GET</t>
        </is>
      </c>
      <c r="F21" s="25" t="inlineStr">
        <is>
          <t>/api/v1/services</t>
        </is>
      </c>
      <c r="G21" s="24" t="inlineStr">
        <is>
          <t>Query</t>
        </is>
      </c>
      <c r="H21" s="25" t="inlineStr">
        <is>
          <t>UC-SPA-06, UC-SPA-09</t>
        </is>
      </c>
      <c r="I21" s="25" t="inlineStr">
        <is>
          <t>SCR-W01, SCR-W02, SCR-W31, SCR-M01, SCR-M02, SCR-M29</t>
        </is>
      </c>
      <c r="J21" s="25" t="inlineStr">
        <is>
          <t>ALL</t>
        </is>
      </c>
      <c r="K21" s="25" t="inlineStr">
        <is>
          <t>?q&amp;loaiDichVu&amp;giaTu&amp;giaDen&amp;daSuDung (CUS)&amp;trangThai (OWN)&amp;page&amp;pageSize</t>
        </is>
      </c>
      <c r="L21" s="25" t="inlineStr">
        <is>
          <t>PagedResult&lt;DichVuListItemDto{id, tenDichVu, loaiDichVu, gia, thoiLuongPhut, hinhAnh, diemTrungBinh, daSuDung?}&gt;</t>
        </is>
      </c>
      <c r="M21" s="24" t="inlineStr">
        <is>
          <t>200</t>
        </is>
      </c>
      <c r="N21" s="25" t="inlineStr">
        <is>
          <t>Khách chỉ thấy DangBan</t>
        </is>
      </c>
      <c r="O21" s="24" t="inlineStr">
        <is>
          <t>Đề xuất</t>
        </is>
      </c>
    </row>
    <row r="22">
      <c r="A22" s="26" t="inlineStr">
        <is>
          <t>SPA-API-018</t>
        </is>
      </c>
      <c r="B22" s="26" t="inlineStr">
        <is>
          <t>CAT</t>
        </is>
      </c>
      <c r="C22" s="27" t="inlineStr">
        <is>
          <t>Dịch vụ &amp; gói dịch vụ</t>
        </is>
      </c>
      <c r="D22" s="27" t="inlineStr">
        <is>
          <t>Chi tiết dịch vụ</t>
        </is>
      </c>
      <c r="E22" s="26" t="inlineStr">
        <is>
          <t>GET</t>
        </is>
      </c>
      <c r="F22" s="27" t="inlineStr">
        <is>
          <t>/api/v1/services/{id}</t>
        </is>
      </c>
      <c r="G22" s="26" t="inlineStr">
        <is>
          <t>Query</t>
        </is>
      </c>
      <c r="H22" s="27" t="inlineStr">
        <is>
          <t>UC-SPA-07</t>
        </is>
      </c>
      <c r="I22" s="27" t="inlineStr">
        <is>
          <t>SCR-W03, SCR-M03</t>
        </is>
      </c>
      <c r="J22" s="27" t="inlineStr">
        <is>
          <t>ALL</t>
        </is>
      </c>
      <c r="K22" s="27" t="inlineStr">
        <is>
          <t>—</t>
        </is>
      </c>
      <c r="L22" s="27" t="inlineStr">
        <is>
          <t>DichVuDetailDto</t>
        </is>
      </c>
      <c r="M22" s="26" t="inlineStr">
        <is>
          <t>200</t>
        </is>
      </c>
      <c r="N22" s="27" t="inlineStr">
        <is>
          <t>404 nếu NgungBan (với khách)</t>
        </is>
      </c>
      <c r="O22" s="26" t="inlineStr">
        <is>
          <t>Đề xuất</t>
        </is>
      </c>
    </row>
    <row r="23">
      <c r="A23" s="24" t="inlineStr">
        <is>
          <t>SPA-API-019</t>
        </is>
      </c>
      <c r="B23" s="24" t="inlineStr">
        <is>
          <t>CAT</t>
        </is>
      </c>
      <c r="C23" s="25" t="inlineStr">
        <is>
          <t>Dịch vụ &amp; gói dịch vụ</t>
        </is>
      </c>
      <c r="D23" s="25" t="inlineStr">
        <is>
          <t>Tìm kiếm gói dịch vụ</t>
        </is>
      </c>
      <c r="E23" s="24" t="inlineStr">
        <is>
          <t>GET</t>
        </is>
      </c>
      <c r="F23" s="25" t="inlineStr">
        <is>
          <t>/api/v1/packages</t>
        </is>
      </c>
      <c r="G23" s="24" t="inlineStr">
        <is>
          <t>Query</t>
        </is>
      </c>
      <c r="H23" s="25" t="inlineStr">
        <is>
          <t>UC-SPA-06, UC-SPA-09</t>
        </is>
      </c>
      <c r="I23" s="25" t="inlineStr">
        <is>
          <t>SCR-W01, SCR-W04, SCR-W32, SCR-M04</t>
        </is>
      </c>
      <c r="J23" s="25" t="inlineStr">
        <is>
          <t>ALL</t>
        </is>
      </c>
      <c r="K23" s="25" t="inlineStr">
        <is>
          <t>?q&amp;giaTu&amp;giaDen&amp;daSuDung&amp;trangThai&amp;page&amp;pageSize</t>
        </is>
      </c>
      <c r="L23" s="25" t="inlineStr">
        <is>
          <t>PagedResult&lt;GoiDichVuListItemDto{id, tenGoiDichVu, gia, thoiHanNgay, tongSoBuoi}&gt;</t>
        </is>
      </c>
      <c r="M23" s="24" t="inlineStr">
        <is>
          <t>200</t>
        </is>
      </c>
      <c r="N23" s="25" t="inlineStr">
        <is>
          <t>Khách: DangBan và trong NgayBatDauBan–NgayKetThucBan</t>
        </is>
      </c>
      <c r="O23" s="24" t="inlineStr">
        <is>
          <t>Đề xuất</t>
        </is>
      </c>
    </row>
    <row r="24">
      <c r="A24" s="26" t="inlineStr">
        <is>
          <t>SPA-API-020</t>
        </is>
      </c>
      <c r="B24" s="26" t="inlineStr">
        <is>
          <t>CAT</t>
        </is>
      </c>
      <c r="C24" s="27" t="inlineStr">
        <is>
          <t>Dịch vụ &amp; gói dịch vụ</t>
        </is>
      </c>
      <c r="D24" s="27" t="inlineStr">
        <is>
          <t>Chi tiết gói dịch vụ</t>
        </is>
      </c>
      <c r="E24" s="26" t="inlineStr">
        <is>
          <t>GET</t>
        </is>
      </c>
      <c r="F24" s="27" t="inlineStr">
        <is>
          <t>/api/v1/packages/{id}</t>
        </is>
      </c>
      <c r="G24" s="26" t="inlineStr">
        <is>
          <t>Query</t>
        </is>
      </c>
      <c r="H24" s="27" t="inlineStr">
        <is>
          <t>UC-SPA-07</t>
        </is>
      </c>
      <c r="I24" s="27" t="inlineStr">
        <is>
          <t>SCR-W05, SCR-M05</t>
        </is>
      </c>
      <c r="J24" s="27" t="inlineStr">
        <is>
          <t>ALL</t>
        </is>
      </c>
      <c r="K24" s="27" t="inlineStr">
        <is>
          <t>—</t>
        </is>
      </c>
      <c r="L24" s="27" t="inlineStr">
        <is>
          <t>GoiDichVuDetailDto{…, chiTiet[{dichVu, soBuoi, thuTu, khoangCachNgayToiThieu}]}</t>
        </is>
      </c>
      <c r="M24" s="26" t="inlineStr">
        <is>
          <t>200</t>
        </is>
      </c>
      <c r="N24" s="27" t="inlineStr"/>
      <c r="O24" s="26" t="inlineStr">
        <is>
          <t>Đề xuất</t>
        </is>
      </c>
    </row>
    <row r="25">
      <c r="A25" s="24" t="inlineStr">
        <is>
          <t>SPA-API-021</t>
        </is>
      </c>
      <c r="B25" s="24" t="inlineStr">
        <is>
          <t>CAT</t>
        </is>
      </c>
      <c r="C25" s="25" t="inlineStr">
        <is>
          <t>Dịch vụ &amp; gói dịch vụ</t>
        </is>
      </c>
      <c r="D25" s="25" t="inlineStr">
        <is>
          <t>Danh sách loại dịch vụ</t>
        </is>
      </c>
      <c r="E25" s="24" t="inlineStr">
        <is>
          <t>GET</t>
        </is>
      </c>
      <c r="F25" s="25" t="inlineStr">
        <is>
          <t>/api/v1/service-types</t>
        </is>
      </c>
      <c r="G25" s="24" t="inlineStr">
        <is>
          <t>Query</t>
        </is>
      </c>
      <c r="H25" s="25" t="inlineStr">
        <is>
          <t>UC-SPA-06</t>
        </is>
      </c>
      <c r="I25" s="25" t="inlineStr">
        <is>
          <t>SCR-W02, SCR-M02</t>
        </is>
      </c>
      <c r="J25" s="25" t="inlineStr">
        <is>
          <t>ALL</t>
        </is>
      </c>
      <c r="K25" s="25" t="inlineStr">
        <is>
          <t>—</t>
        </is>
      </c>
      <c r="L25" s="25" t="inlineStr">
        <is>
          <t>string[] (DISTINCT LoaiDichVu)</t>
        </is>
      </c>
      <c r="M25" s="24" t="inlineStr">
        <is>
          <t>200</t>
        </is>
      </c>
      <c r="N25" s="25" t="inlineStr">
        <is>
          <t>Dùng làm bộ lọc 'danh mục'</t>
        </is>
      </c>
      <c r="O25" s="24" t="inlineStr">
        <is>
          <t>Đề xuất</t>
        </is>
      </c>
    </row>
    <row r="26">
      <c r="A26" s="26" t="inlineStr">
        <is>
          <t>SPA-API-022</t>
        </is>
      </c>
      <c r="B26" s="26" t="inlineStr">
        <is>
          <t>CAT</t>
        </is>
      </c>
      <c r="C26" s="27" t="inlineStr">
        <is>
          <t>Dịch vụ &amp; gói dịch vụ</t>
        </is>
      </c>
      <c r="D26" s="27" t="inlineStr">
        <is>
          <t>Gợi ý tìm kiếm</t>
        </is>
      </c>
      <c r="E26" s="26" t="inlineStr">
        <is>
          <t>GET</t>
        </is>
      </c>
      <c r="F26" s="27" t="inlineStr">
        <is>
          <t>/api/v1/catalog/suggestions</t>
        </is>
      </c>
      <c r="G26" s="26" t="inlineStr">
        <is>
          <t>Query</t>
        </is>
      </c>
      <c r="H26" s="27" t="inlineStr">
        <is>
          <t>UC-SPA-06</t>
        </is>
      </c>
      <c r="I26" s="27" t="inlineStr">
        <is>
          <t>SCR-W02, SCR-M02</t>
        </is>
      </c>
      <c r="J26" s="27" t="inlineStr">
        <is>
          <t>ALL</t>
        </is>
      </c>
      <c r="K26" s="27" t="inlineStr">
        <is>
          <t>?q (≥ 2 ký tự)</t>
        </is>
      </c>
      <c r="L26" s="27" t="inlineStr">
        <is>
          <t>[{loai: DichVu|Goi, id, ten}] (≤ 8)</t>
        </is>
      </c>
      <c r="M26" s="26" t="inlineStr">
        <is>
          <t>200</t>
        </is>
      </c>
      <c r="N26" s="27" t="inlineStr">
        <is>
          <t>UC-SPA-06 A1</t>
        </is>
      </c>
      <c r="O26" s="26" t="inlineStr">
        <is>
          <t>Đề xuất</t>
        </is>
      </c>
    </row>
    <row r="27">
      <c r="A27" s="24" t="inlineStr">
        <is>
          <t>SPA-API-023</t>
        </is>
      </c>
      <c r="B27" s="24" t="inlineStr">
        <is>
          <t>CAT</t>
        </is>
      </c>
      <c r="C27" s="25" t="inlineStr">
        <is>
          <t>Dịch vụ &amp; gói dịch vụ</t>
        </is>
      </c>
      <c r="D27" s="25" t="inlineStr">
        <is>
          <t>Thông tin giới thiệu spa</t>
        </is>
      </c>
      <c r="E27" s="24" t="inlineStr">
        <is>
          <t>GET</t>
        </is>
      </c>
      <c r="F27" s="25" t="inlineStr">
        <is>
          <t>/api/v1/spa-info</t>
        </is>
      </c>
      <c r="G27" s="24" t="inlineStr">
        <is>
          <t>Query</t>
        </is>
      </c>
      <c r="H27" s="25" t="inlineStr">
        <is>
          <t>UC-SPA-08</t>
        </is>
      </c>
      <c r="I27" s="25" t="inlineStr">
        <is>
          <t>SCR-W06, SCR-M09</t>
        </is>
      </c>
      <c r="J27" s="25" t="inlineStr">
        <is>
          <t>ALL</t>
        </is>
      </c>
      <c r="K27" s="25" t="inlineStr">
        <is>
          <t>—</t>
        </is>
      </c>
      <c r="L27" s="25" t="inlineStr">
        <is>
          <t>{tenSpa, gioiThieu, diaChi, sdt, gioMoCua}</t>
        </is>
      </c>
      <c r="M27" s="24" t="inlineStr">
        <is>
          <t>200</t>
        </is>
      </c>
      <c r="N27" s="25" t="inlineStr">
        <is>
          <t>ERD chưa có bảng → ThongTinSpa (ĐX) hoặc appsettings</t>
        </is>
      </c>
      <c r="O27" s="24" t="inlineStr">
        <is>
          <t>Đề xuất</t>
        </is>
      </c>
    </row>
    <row r="28">
      <c r="A28" s="26" t="inlineStr">
        <is>
          <t>SPA-API-024</t>
        </is>
      </c>
      <c r="B28" s="26" t="inlineStr">
        <is>
          <t>CAT</t>
        </is>
      </c>
      <c r="C28" s="27" t="inlineStr">
        <is>
          <t>Dịch vụ &amp; gói dịch vụ</t>
        </is>
      </c>
      <c r="D28" s="27" t="inlineStr">
        <is>
          <t>Thêm dịch vụ</t>
        </is>
      </c>
      <c r="E28" s="26" t="inlineStr">
        <is>
          <t>POST</t>
        </is>
      </c>
      <c r="F28" s="27" t="inlineStr">
        <is>
          <t>/api/v1/services</t>
        </is>
      </c>
      <c r="G28" s="26" t="inlineStr">
        <is>
          <t>Command</t>
        </is>
      </c>
      <c r="H28" s="27" t="inlineStr">
        <is>
          <t>UC-SPA-09</t>
        </is>
      </c>
      <c r="I28" s="27" t="inlineStr">
        <is>
          <t>SCR-W31</t>
        </is>
      </c>
      <c r="J28" s="27" t="inlineStr">
        <is>
          <t>OWN</t>
        </is>
      </c>
      <c r="K28" s="27" t="inlineStr">
        <is>
          <t>{tenDichVu, loaiDichVu, moTa, thoiLuongPhut, gia, trangThai}</t>
        </is>
      </c>
      <c r="L28" s="27" t="inlineStr">
        <is>
          <t>DichVuDetailDto</t>
        </is>
      </c>
      <c r="M28" s="26" t="inlineStr">
        <is>
          <t>201</t>
        </is>
      </c>
      <c r="N28" s="27" t="inlineStr"/>
      <c r="O28" s="26" t="inlineStr">
        <is>
          <t>Đề xuất</t>
        </is>
      </c>
    </row>
    <row r="29">
      <c r="A29" s="24" t="inlineStr">
        <is>
          <t>SPA-API-025</t>
        </is>
      </c>
      <c r="B29" s="24" t="inlineStr">
        <is>
          <t>CAT</t>
        </is>
      </c>
      <c r="C29" s="25" t="inlineStr">
        <is>
          <t>Dịch vụ &amp; gói dịch vụ</t>
        </is>
      </c>
      <c r="D29" s="25" t="inlineStr">
        <is>
          <t>Sửa dịch vụ</t>
        </is>
      </c>
      <c r="E29" s="24" t="inlineStr">
        <is>
          <t>PUT</t>
        </is>
      </c>
      <c r="F29" s="25" t="inlineStr">
        <is>
          <t>/api/v1/services/{id}</t>
        </is>
      </c>
      <c r="G29" s="24" t="inlineStr">
        <is>
          <t>Command</t>
        </is>
      </c>
      <c r="H29" s="25" t="inlineStr">
        <is>
          <t>UC-SPA-09</t>
        </is>
      </c>
      <c r="I29" s="25" t="inlineStr">
        <is>
          <t>SCR-W31</t>
        </is>
      </c>
      <c r="J29" s="25" t="inlineStr">
        <is>
          <t>OWN</t>
        </is>
      </c>
      <c r="K29" s="25" t="inlineStr">
        <is>
          <t>{tenDichVu, loaiDichVu, moTa, thoiLuongPhut, gia}</t>
        </is>
      </c>
      <c r="L29" s="25" t="inlineStr">
        <is>
          <t>DichVuDetailDto</t>
        </is>
      </c>
      <c r="M29" s="24" t="inlineStr">
        <is>
          <t>200</t>
        </is>
      </c>
      <c r="N29" s="25" t="inlineStr"/>
      <c r="O29" s="24" t="inlineStr">
        <is>
          <t>Đề xuất</t>
        </is>
      </c>
    </row>
    <row r="30">
      <c r="A30" s="26" t="inlineStr">
        <is>
          <t>SPA-API-026</t>
        </is>
      </c>
      <c r="B30" s="26" t="inlineStr">
        <is>
          <t>CAT</t>
        </is>
      </c>
      <c r="C30" s="27" t="inlineStr">
        <is>
          <t>Dịch vụ &amp; gói dịch vụ</t>
        </is>
      </c>
      <c r="D30" s="27" t="inlineStr">
        <is>
          <t>Ngừng bán / mở bán dịch vụ</t>
        </is>
      </c>
      <c r="E30" s="26" t="inlineStr">
        <is>
          <t>PATCH</t>
        </is>
      </c>
      <c r="F30" s="27" t="inlineStr">
        <is>
          <t>/api/v1/services/{id}/status</t>
        </is>
      </c>
      <c r="G30" s="26" t="inlineStr">
        <is>
          <t>Command</t>
        </is>
      </c>
      <c r="H30" s="27" t="inlineStr">
        <is>
          <t>UC-SPA-09</t>
        </is>
      </c>
      <c r="I30" s="27" t="inlineStr">
        <is>
          <t>SCR-W31, SCR-M29</t>
        </is>
      </c>
      <c r="J30" s="27" t="inlineStr">
        <is>
          <t>OWN</t>
        </is>
      </c>
      <c r="K30" s="27" t="inlineStr">
        <is>
          <t>{trangThai: DangBan|NgungBan}</t>
        </is>
      </c>
      <c r="L30" s="27" t="inlineStr">
        <is>
          <t>—</t>
        </is>
      </c>
      <c r="M30" s="26" t="inlineStr">
        <is>
          <t>204</t>
        </is>
      </c>
      <c r="N30" s="27" t="inlineStr"/>
      <c r="O30" s="26" t="inlineStr">
        <is>
          <t>Đề xuất</t>
        </is>
      </c>
    </row>
    <row r="31">
      <c r="A31" s="24" t="inlineStr">
        <is>
          <t>SPA-API-027</t>
        </is>
      </c>
      <c r="B31" s="24" t="inlineStr">
        <is>
          <t>CAT</t>
        </is>
      </c>
      <c r="C31" s="25" t="inlineStr">
        <is>
          <t>Dịch vụ &amp; gói dịch vụ</t>
        </is>
      </c>
      <c r="D31" s="25" t="inlineStr">
        <is>
          <t>Tải ảnh dịch vụ</t>
        </is>
      </c>
      <c r="E31" s="24" t="inlineStr">
        <is>
          <t>POST</t>
        </is>
      </c>
      <c r="F31" s="25" t="inlineStr">
        <is>
          <t>/api/v1/services/{id}/image</t>
        </is>
      </c>
      <c r="G31" s="24" t="inlineStr">
        <is>
          <t>Upload</t>
        </is>
      </c>
      <c r="H31" s="25" t="inlineStr">
        <is>
          <t>UC-SPA-09</t>
        </is>
      </c>
      <c r="I31" s="25" t="inlineStr">
        <is>
          <t>SCR-W31</t>
        </is>
      </c>
      <c r="J31" s="25" t="inlineStr">
        <is>
          <t>OWN</t>
        </is>
      </c>
      <c r="K31" s="25" t="inlineStr">
        <is>
          <t>multipart file</t>
        </is>
      </c>
      <c r="L31" s="25" t="inlineStr">
        <is>
          <t>{hinhAnh}</t>
        </is>
      </c>
      <c r="M31" s="24" t="inlineStr">
        <is>
          <t>200</t>
        </is>
      </c>
      <c r="N31" s="25" t="inlineStr"/>
      <c r="O31" s="24" t="inlineStr">
        <is>
          <t>Đề xuất</t>
        </is>
      </c>
    </row>
    <row r="32">
      <c r="A32" s="26" t="inlineStr">
        <is>
          <t>SPA-API-028</t>
        </is>
      </c>
      <c r="B32" s="26" t="inlineStr">
        <is>
          <t>CAT</t>
        </is>
      </c>
      <c r="C32" s="27" t="inlineStr">
        <is>
          <t>Dịch vụ &amp; gói dịch vụ</t>
        </is>
      </c>
      <c r="D32" s="27" t="inlineStr">
        <is>
          <t>Thêm gói dịch vụ</t>
        </is>
      </c>
      <c r="E32" s="26" t="inlineStr">
        <is>
          <t>POST</t>
        </is>
      </c>
      <c r="F32" s="27" t="inlineStr">
        <is>
          <t>/api/v1/packages</t>
        </is>
      </c>
      <c r="G32" s="26" t="inlineStr">
        <is>
          <t>Command</t>
        </is>
      </c>
      <c r="H32" s="27" t="inlineStr">
        <is>
          <t>UC-SPA-09</t>
        </is>
      </c>
      <c r="I32" s="27" t="inlineStr">
        <is>
          <t>SCR-W32</t>
        </is>
      </c>
      <c r="J32" s="27" t="inlineStr">
        <is>
          <t>OWN</t>
        </is>
      </c>
      <c r="K32" s="27" t="inlineStr">
        <is>
          <t>{tenGoiDichVu, moTa, gia, thoiHanNgay, ngayBatDauBan, ngayKetThucBan, chiTiet[{idDichVu, soBuoi, thuTu, khoangCachNgayToiThieu, ghiChu}]}</t>
        </is>
      </c>
      <c r="L32" s="27" t="inlineStr">
        <is>
          <t>GoiDichVuDetailDto</t>
        </is>
      </c>
      <c r="M32" s="26" t="inlineStr">
        <is>
          <t>201</t>
        </is>
      </c>
      <c r="N32" s="27" t="inlineStr">
        <is>
          <t>≥ 1 dịch vụ thành phần</t>
        </is>
      </c>
      <c r="O32" s="26" t="inlineStr">
        <is>
          <t>Đề xuất</t>
        </is>
      </c>
    </row>
    <row r="33">
      <c r="A33" s="24" t="inlineStr">
        <is>
          <t>SPA-API-029</t>
        </is>
      </c>
      <c r="B33" s="24" t="inlineStr">
        <is>
          <t>CAT</t>
        </is>
      </c>
      <c r="C33" s="25" t="inlineStr">
        <is>
          <t>Dịch vụ &amp; gói dịch vụ</t>
        </is>
      </c>
      <c r="D33" s="25" t="inlineStr">
        <is>
          <t>Sửa gói dịch vụ</t>
        </is>
      </c>
      <c r="E33" s="24" t="inlineStr">
        <is>
          <t>PUT</t>
        </is>
      </c>
      <c r="F33" s="25" t="inlineStr">
        <is>
          <t>/api/v1/packages/{id}</t>
        </is>
      </c>
      <c r="G33" s="24" t="inlineStr">
        <is>
          <t>Command</t>
        </is>
      </c>
      <c r="H33" s="25" t="inlineStr">
        <is>
          <t>UC-SPA-09</t>
        </is>
      </c>
      <c r="I33" s="25" t="inlineStr">
        <is>
          <t>SCR-W32</t>
        </is>
      </c>
      <c r="J33" s="25" t="inlineStr">
        <is>
          <t>OWN</t>
        </is>
      </c>
      <c r="K33" s="25" t="inlineStr">
        <is>
          <t>như thêm</t>
        </is>
      </c>
      <c r="L33" s="25" t="inlineStr">
        <is>
          <t>GoiDichVuDetailDto</t>
        </is>
      </c>
      <c r="M33" s="24" t="inlineStr">
        <is>
          <t>200</t>
        </is>
      </c>
      <c r="N33" s="25" t="inlineStr">
        <is>
          <t>Không ảnh hưởng GoiKhachHang đã bán</t>
        </is>
      </c>
      <c r="O33" s="24" t="inlineStr">
        <is>
          <t>Đề xuất</t>
        </is>
      </c>
    </row>
    <row r="34">
      <c r="A34" s="26" t="inlineStr">
        <is>
          <t>SPA-API-030</t>
        </is>
      </c>
      <c r="B34" s="26" t="inlineStr">
        <is>
          <t>CAT</t>
        </is>
      </c>
      <c r="C34" s="27" t="inlineStr">
        <is>
          <t>Dịch vụ &amp; gói dịch vụ</t>
        </is>
      </c>
      <c r="D34" s="27" t="inlineStr">
        <is>
          <t>Ngừng bán / mở bán gói</t>
        </is>
      </c>
      <c r="E34" s="26" t="inlineStr">
        <is>
          <t>PATCH</t>
        </is>
      </c>
      <c r="F34" s="27" t="inlineStr">
        <is>
          <t>/api/v1/packages/{id}/status</t>
        </is>
      </c>
      <c r="G34" s="26" t="inlineStr">
        <is>
          <t>Command</t>
        </is>
      </c>
      <c r="H34" s="27" t="inlineStr">
        <is>
          <t>UC-SPA-09</t>
        </is>
      </c>
      <c r="I34" s="27" t="inlineStr">
        <is>
          <t>SCR-W32</t>
        </is>
      </c>
      <c r="J34" s="27" t="inlineStr">
        <is>
          <t>OWN</t>
        </is>
      </c>
      <c r="K34" s="27" t="inlineStr">
        <is>
          <t>{trangThai}</t>
        </is>
      </c>
      <c r="L34" s="27" t="inlineStr">
        <is>
          <t>—</t>
        </is>
      </c>
      <c r="M34" s="26" t="inlineStr">
        <is>
          <t>204</t>
        </is>
      </c>
      <c r="N34" s="27" t="inlineStr"/>
      <c r="O34" s="26" t="inlineStr">
        <is>
          <t>Đề xuất</t>
        </is>
      </c>
    </row>
    <row r="35">
      <c r="A35" s="24" t="inlineStr">
        <is>
          <t>SPA-API-031</t>
        </is>
      </c>
      <c r="B35" s="24" t="inlineStr">
        <is>
          <t>ORD</t>
        </is>
      </c>
      <c r="C35" s="25" t="inlineStr">
        <is>
          <t>Giỏ hàng, đơn hàng &amp; thanh toán</t>
        </is>
      </c>
      <c r="D35" s="25" t="inlineStr">
        <is>
          <t>Xem giỏ hàng</t>
        </is>
      </c>
      <c r="E35" s="24" t="inlineStr">
        <is>
          <t>GET</t>
        </is>
      </c>
      <c r="F35" s="25" t="inlineStr">
        <is>
          <t>/api/v1/me/cart</t>
        </is>
      </c>
      <c r="G35" s="24" t="inlineStr">
        <is>
          <t>Query</t>
        </is>
      </c>
      <c r="H35" s="25" t="inlineStr">
        <is>
          <t>UC-SPA-10</t>
        </is>
      </c>
      <c r="I35" s="25" t="inlineStr">
        <is>
          <t>SCR-W10, SCR-M19</t>
        </is>
      </c>
      <c r="J35" s="25" t="inlineStr">
        <is>
          <t>CUS</t>
        </is>
      </c>
      <c r="K35" s="25" t="inlineStr">
        <is>
          <t>—</t>
        </is>
      </c>
      <c r="L35" s="25" t="inlineStr">
        <is>
          <t>{items[{id, loai, idSanPham, ten, donGia, giaHienTai, conBan}], tongTien}</t>
        </is>
      </c>
      <c r="M35" s="24" t="inlineStr">
        <is>
          <t>200</t>
        </is>
      </c>
      <c r="N35" s="25" t="inlineStr">
        <is>
          <t>Đánh dấu sản phẩm ngừng bán/đổi giá</t>
        </is>
      </c>
      <c r="O35" s="24" t="inlineStr">
        <is>
          <t>Đề xuất</t>
        </is>
      </c>
    </row>
    <row r="36">
      <c r="A36" s="26" t="inlineStr">
        <is>
          <t>SPA-API-032</t>
        </is>
      </c>
      <c r="B36" s="26" t="inlineStr">
        <is>
          <t>ORD</t>
        </is>
      </c>
      <c r="C36" s="27" t="inlineStr">
        <is>
          <t>Giỏ hàng, đơn hàng &amp; thanh toán</t>
        </is>
      </c>
      <c r="D36" s="27" t="inlineStr">
        <is>
          <t>Thêm vào giỏ</t>
        </is>
      </c>
      <c r="E36" s="26" t="inlineStr">
        <is>
          <t>POST</t>
        </is>
      </c>
      <c r="F36" s="27" t="inlineStr">
        <is>
          <t>/api/v1/me/cart/items</t>
        </is>
      </c>
      <c r="G36" s="26" t="inlineStr">
        <is>
          <t>Command</t>
        </is>
      </c>
      <c r="H36" s="27" t="inlineStr">
        <is>
          <t>UC-SPA-10</t>
        </is>
      </c>
      <c r="I36" s="27" t="inlineStr">
        <is>
          <t>SCR-W02, SCR-W03, SCR-W04, SCR-W05, SCR-M02, SCR-M03, SCR-M05</t>
        </is>
      </c>
      <c r="J36" s="27" t="inlineStr">
        <is>
          <t>CUS</t>
        </is>
      </c>
      <c r="K36" s="27" t="inlineStr">
        <is>
          <t>{idDichVu? | idGoiDichVu?}</t>
        </is>
      </c>
      <c r="L36" s="27" t="inlineStr">
        <is>
          <t>CartDto</t>
        </is>
      </c>
      <c r="M36" s="26" t="inlineStr">
        <is>
          <t>201</t>
        </is>
      </c>
      <c r="N36" s="27" t="inlineStr">
        <is>
          <t>409 CART_ITEM_EXISTS (E1)</t>
        </is>
      </c>
      <c r="O36" s="26" t="inlineStr">
        <is>
          <t>Đề xuất</t>
        </is>
      </c>
    </row>
    <row r="37">
      <c r="A37" s="24" t="inlineStr">
        <is>
          <t>SPA-API-033</t>
        </is>
      </c>
      <c r="B37" s="24" t="inlineStr">
        <is>
          <t>ORD</t>
        </is>
      </c>
      <c r="C37" s="25" t="inlineStr">
        <is>
          <t>Giỏ hàng, đơn hàng &amp; thanh toán</t>
        </is>
      </c>
      <c r="D37" s="25" t="inlineStr">
        <is>
          <t>Xóa khỏi giỏ</t>
        </is>
      </c>
      <c r="E37" s="24" t="inlineStr">
        <is>
          <t>DELETE</t>
        </is>
      </c>
      <c r="F37" s="25" t="inlineStr">
        <is>
          <t>/api/v1/me/cart/items/{itemId}</t>
        </is>
      </c>
      <c r="G37" s="24" t="inlineStr">
        <is>
          <t>Command</t>
        </is>
      </c>
      <c r="H37" s="25" t="inlineStr">
        <is>
          <t>UC-SPA-10</t>
        </is>
      </c>
      <c r="I37" s="25" t="inlineStr">
        <is>
          <t>SCR-W10, SCR-M19</t>
        </is>
      </c>
      <c r="J37" s="25" t="inlineStr">
        <is>
          <t>CUS</t>
        </is>
      </c>
      <c r="K37" s="25" t="inlineStr">
        <is>
          <t>—</t>
        </is>
      </c>
      <c r="L37" s="25" t="inlineStr">
        <is>
          <t>CartDto</t>
        </is>
      </c>
      <c r="M37" s="24" t="inlineStr">
        <is>
          <t>200</t>
        </is>
      </c>
      <c r="N37" s="25" t="inlineStr"/>
      <c r="O37" s="24" t="inlineStr">
        <is>
          <t>Đề xuất</t>
        </is>
      </c>
    </row>
    <row r="38">
      <c r="A38" s="26" t="inlineStr">
        <is>
          <t>SPA-API-034</t>
        </is>
      </c>
      <c r="B38" s="26" t="inlineStr">
        <is>
          <t>ORD</t>
        </is>
      </c>
      <c r="C38" s="27" t="inlineStr">
        <is>
          <t>Giỏ hàng, đơn hàng &amp; thanh toán</t>
        </is>
      </c>
      <c r="D38" s="27" t="inlineStr">
        <is>
          <t>Xem trước đơn (tính tiền)</t>
        </is>
      </c>
      <c r="E38" s="26" t="inlineStr">
        <is>
          <t>POST</t>
        </is>
      </c>
      <c r="F38" s="27" t="inlineStr">
        <is>
          <t>/api/v1/me/orders/preview</t>
        </is>
      </c>
      <c r="G38" s="26" t="inlineStr">
        <is>
          <t>Query</t>
        </is>
      </c>
      <c r="H38" s="27" t="inlineStr">
        <is>
          <t>UC-SPA-11</t>
        </is>
      </c>
      <c r="I38" s="27" t="inlineStr">
        <is>
          <t>SCR-W11, SCR-M19</t>
        </is>
      </c>
      <c r="J38" s="27" t="inlineStr">
        <is>
          <t>CUS</t>
        </is>
      </c>
      <c r="K38" s="27" t="inlineStr">
        <is>
          <t>{nguon: GioHang|MuaNgay, items?[], maKhuyenMai?}</t>
        </is>
      </c>
      <c r="L38" s="27" t="inlineStr">
        <is>
          <t>{chiTiet[], tongTienHang, tongGiamGia, tongThanhToan, loiKhuyenMai?}</t>
        </is>
      </c>
      <c r="M38" s="26" t="inlineStr">
        <is>
          <t>200</t>
        </is>
      </c>
      <c r="N38" s="27" t="inlineStr">
        <is>
          <t>Giá lấy lại từ DB</t>
        </is>
      </c>
      <c r="O38" s="26" t="inlineStr">
        <is>
          <t>Đề xuất</t>
        </is>
      </c>
    </row>
    <row r="39">
      <c r="A39" s="24" t="inlineStr">
        <is>
          <t>SPA-API-035</t>
        </is>
      </c>
      <c r="B39" s="24" t="inlineStr">
        <is>
          <t>PRM</t>
        </is>
      </c>
      <c r="C39" s="25" t="inlineStr">
        <is>
          <t>Khuyến mãi</t>
        </is>
      </c>
      <c r="D39" s="25" t="inlineStr">
        <is>
          <t>Kiểm tra mã khuyến mãi</t>
        </is>
      </c>
      <c r="E39" s="24" t="inlineStr">
        <is>
          <t>POST</t>
        </is>
      </c>
      <c r="F39" s="25" t="inlineStr">
        <is>
          <t>/api/v1/promotions/validate</t>
        </is>
      </c>
      <c r="G39" s="24" t="inlineStr">
        <is>
          <t>Query</t>
        </is>
      </c>
      <c r="H39" s="25" t="inlineStr">
        <is>
          <t>UC-SPA-11</t>
        </is>
      </c>
      <c r="I39" s="25" t="inlineStr">
        <is>
          <t>SCR-W11, SCR-M19</t>
        </is>
      </c>
      <c r="J39" s="25" t="inlineStr">
        <is>
          <t>CUS</t>
        </is>
      </c>
      <c r="K39" s="25" t="inlineStr">
        <is>
          <t>{maCode, tongTienHang}</t>
        </is>
      </c>
      <c r="L39" s="25" t="inlineStr">
        <is>
          <t>{hopLe, soTienGiam, lyDo?}</t>
        </is>
      </c>
      <c r="M39" s="24" t="inlineStr">
        <is>
          <t>200</t>
        </is>
      </c>
      <c r="N39" s="25" t="inlineStr">
        <is>
          <t>UC-SPA-11 A1/E1</t>
        </is>
      </c>
      <c r="O39" s="24" t="inlineStr">
        <is>
          <t>Đề xuất</t>
        </is>
      </c>
    </row>
    <row r="40">
      <c r="A40" s="26" t="inlineStr">
        <is>
          <t>SPA-API-036</t>
        </is>
      </c>
      <c r="B40" s="26" t="inlineStr">
        <is>
          <t>ORD</t>
        </is>
      </c>
      <c r="C40" s="27" t="inlineStr">
        <is>
          <t>Giỏ hàng, đơn hàng &amp; thanh toán</t>
        </is>
      </c>
      <c r="D40" s="27" t="inlineStr">
        <is>
          <t>Tạo đơn hàng</t>
        </is>
      </c>
      <c r="E40" s="26" t="inlineStr">
        <is>
          <t>POST</t>
        </is>
      </c>
      <c r="F40" s="27" t="inlineStr">
        <is>
          <t>/api/v1/me/orders</t>
        </is>
      </c>
      <c r="G40" s="26" t="inlineStr">
        <is>
          <t>Command</t>
        </is>
      </c>
      <c r="H40" s="27" t="inlineStr">
        <is>
          <t>UC-SPA-11</t>
        </is>
      </c>
      <c r="I40" s="27" t="inlineStr">
        <is>
          <t>SCR-W11, SCR-M19</t>
        </is>
      </c>
      <c r="J40" s="27" t="inlineStr">
        <is>
          <t>CUS</t>
        </is>
      </c>
      <c r="K40" s="27" t="inlineStr">
        <is>
          <t>{nguon: GioHang|MuaNgay, items?[], maKhuyenMai?}</t>
        </is>
      </c>
      <c r="L40" s="27" t="inlineStr">
        <is>
          <t>DonHangDto{id, maDonHang, tongThanhToan, trangThai: ChoThanhToan, hetHanThanhToanLuc}</t>
        </is>
      </c>
      <c r="M40" s="26" t="inlineStr">
        <is>
          <t>201</t>
        </is>
      </c>
      <c r="N40" s="27" t="inlineStr">
        <is>
          <t>Idempotency-Key; tạo ApDungKhuyenMai nếu có mã</t>
        </is>
      </c>
      <c r="O40" s="26" t="inlineStr">
        <is>
          <t>Đề xuất</t>
        </is>
      </c>
    </row>
    <row r="41">
      <c r="A41" s="24" t="inlineStr">
        <is>
          <t>SPA-API-037</t>
        </is>
      </c>
      <c r="B41" s="24" t="inlineStr">
        <is>
          <t>ORD</t>
        </is>
      </c>
      <c r="C41" s="25" t="inlineStr">
        <is>
          <t>Giỏ hàng, đơn hàng &amp; thanh toán</t>
        </is>
      </c>
      <c r="D41" s="25" t="inlineStr">
        <is>
          <t>Tạo lần thanh toán (lấy URL cổng)</t>
        </is>
      </c>
      <c r="E41" s="24" t="inlineStr">
        <is>
          <t>POST</t>
        </is>
      </c>
      <c r="F41" s="25" t="inlineStr">
        <is>
          <t>/api/v1/me/orders/{id}/payments</t>
        </is>
      </c>
      <c r="G41" s="24" t="inlineStr">
        <is>
          <t>Command</t>
        </is>
      </c>
      <c r="H41" s="25" t="inlineStr">
        <is>
          <t>UC-SPA-11, UC-SPA-12</t>
        </is>
      </c>
      <c r="I41" s="25" t="inlineStr">
        <is>
          <t>SCR-W11, SCR-W19, SCR-M19, SCR-M20</t>
        </is>
      </c>
      <c r="J41" s="25" t="inlineStr">
        <is>
          <t>CUS</t>
        </is>
      </c>
      <c r="K41" s="25" t="inlineStr">
        <is>
          <t>{returnUrl}</t>
        </is>
      </c>
      <c r="L41" s="25" t="inlineStr">
        <is>
          <t>{idThanhToan, paymentUrl, thoiGianHetHan}</t>
        </is>
      </c>
      <c r="M41" s="24" t="inlineStr">
        <is>
          <t>201</t>
        </is>
      </c>
      <c r="N41" s="25" t="inlineStr">
        <is>
          <t>Tạo ThanhToan(DangCho, MaYeuCau unique); A2 thử lại = lần thanh toán mới</t>
        </is>
      </c>
      <c r="O41" s="24" t="inlineStr">
        <is>
          <t>Đề xuất</t>
        </is>
      </c>
    </row>
    <row r="42">
      <c r="A42" s="26" t="inlineStr">
        <is>
          <t>SPA-API-038</t>
        </is>
      </c>
      <c r="B42" s="26" t="inlineStr">
        <is>
          <t>ORD</t>
        </is>
      </c>
      <c r="C42" s="27" t="inlineStr">
        <is>
          <t>Giỏ hàng, đơn hàng &amp; thanh toán</t>
        </is>
      </c>
      <c r="D42" s="27" t="inlineStr">
        <is>
          <t>Return URL từ cổng</t>
        </is>
      </c>
      <c r="E42" s="26" t="inlineStr">
        <is>
          <t>GET</t>
        </is>
      </c>
      <c r="F42" s="27" t="inlineStr">
        <is>
          <t>/api/v1/payments/return</t>
        </is>
      </c>
      <c r="G42" s="26" t="inlineStr">
        <is>
          <t>Callback</t>
        </is>
      </c>
      <c r="H42" s="27" t="inlineStr">
        <is>
          <t>UC-SPA-11</t>
        </is>
      </c>
      <c r="I42" s="27" t="inlineStr">
        <is>
          <t>SCR-W12</t>
        </is>
      </c>
      <c r="J42" s="27" t="inlineStr">
        <is>
          <t>PGW (trình duyệt)</t>
        </is>
      </c>
      <c r="K42" s="27" t="inlineStr">
        <is>
          <t>tham số cổng</t>
        </is>
      </c>
      <c r="L42" s="27" t="inlineStr">
        <is>
          <t>302 → /payment/result?orderId=</t>
        </is>
      </c>
      <c r="M42" s="26" t="inlineStr">
        <is>
          <t>302</t>
        </is>
      </c>
      <c r="N42" s="27" t="inlineStr">
        <is>
          <t>Chỉ hiển thị, không ghi nhận</t>
        </is>
      </c>
      <c r="O42" s="26" t="inlineStr">
        <is>
          <t>Đề xuất</t>
        </is>
      </c>
    </row>
    <row r="43">
      <c r="A43" s="24" t="inlineStr">
        <is>
          <t>SPA-API-039</t>
        </is>
      </c>
      <c r="B43" s="24" t="inlineStr">
        <is>
          <t>ORD</t>
        </is>
      </c>
      <c r="C43" s="25" t="inlineStr">
        <is>
          <t>Giỏ hàng, đơn hàng &amp; thanh toán</t>
        </is>
      </c>
      <c r="D43" s="25" t="inlineStr">
        <is>
          <t>IPN / webhook từ cổng</t>
        </is>
      </c>
      <c r="E43" s="24" t="inlineStr">
        <is>
          <t>POST</t>
        </is>
      </c>
      <c r="F43" s="25" t="inlineStr">
        <is>
          <t>/api/v1/payments/webhook</t>
        </is>
      </c>
      <c r="G43" s="24" t="inlineStr">
        <is>
          <t>Callback</t>
        </is>
      </c>
      <c r="H43" s="25" t="inlineStr">
        <is>
          <t>UC-SPA-11</t>
        </is>
      </c>
      <c r="I43" s="25" t="inlineStr">
        <is>
          <t>—</t>
        </is>
      </c>
      <c r="J43" s="25" t="inlineStr">
        <is>
          <t>PGW</t>
        </is>
      </c>
      <c r="K43" s="25" t="inlineStr">
        <is>
          <t>payload + chữ ký</t>
        </is>
      </c>
      <c r="L43" s="25" t="inlineStr">
        <is>
          <t>Theo chuẩn cổng</t>
        </is>
      </c>
      <c r="M43" s="24" t="inlineStr">
        <is>
          <t>200</t>
        </is>
      </c>
      <c r="N43" s="25" t="inlineStr">
        <is>
          <t>Xác thực chữ ký, số tiền; idempotent theo MaYeuCau; thành công → tạo quyền sử dụng</t>
        </is>
      </c>
      <c r="O43" s="24" t="inlineStr">
        <is>
          <t>Đề xuất</t>
        </is>
      </c>
    </row>
    <row r="44">
      <c r="A44" s="26" t="inlineStr">
        <is>
          <t>SPA-API-040</t>
        </is>
      </c>
      <c r="B44" s="26" t="inlineStr">
        <is>
          <t>ORD</t>
        </is>
      </c>
      <c r="C44" s="27" t="inlineStr">
        <is>
          <t>Giỏ hàng, đơn hàng &amp; thanh toán</t>
        </is>
      </c>
      <c r="D44" s="27" t="inlineStr">
        <is>
          <t>Đơn hàng của tôi</t>
        </is>
      </c>
      <c r="E44" s="26" t="inlineStr">
        <is>
          <t>GET</t>
        </is>
      </c>
      <c r="F44" s="27" t="inlineStr">
        <is>
          <t>/api/v1/me/orders</t>
        </is>
      </c>
      <c r="G44" s="26" t="inlineStr">
        <is>
          <t>Query</t>
        </is>
      </c>
      <c r="H44" s="27" t="inlineStr">
        <is>
          <t>UC-SPA-12</t>
        </is>
      </c>
      <c r="I44" s="27" t="inlineStr">
        <is>
          <t>SCR-W19, SCR-M20</t>
        </is>
      </c>
      <c r="J44" s="27" t="inlineStr">
        <is>
          <t>CUS</t>
        </is>
      </c>
      <c r="K44" s="27" t="inlineStr">
        <is>
          <t>?trangThai&amp;tuNgay&amp;denNgay&amp;page&amp;pageSize</t>
        </is>
      </c>
      <c r="L44" s="27" t="inlineStr">
        <is>
          <t>PagedResult&lt;DonHangListItemDto&gt;</t>
        </is>
      </c>
      <c r="M44" s="26" t="inlineStr">
        <is>
          <t>200</t>
        </is>
      </c>
      <c r="N44" s="27" t="inlineStr"/>
      <c r="O44" s="26" t="inlineStr">
        <is>
          <t>Đề xuất</t>
        </is>
      </c>
    </row>
    <row r="45">
      <c r="A45" s="24" t="inlineStr">
        <is>
          <t>SPA-API-041</t>
        </is>
      </c>
      <c r="B45" s="24" t="inlineStr">
        <is>
          <t>ORD</t>
        </is>
      </c>
      <c r="C45" s="25" t="inlineStr">
        <is>
          <t>Giỏ hàng, đơn hàng &amp; thanh toán</t>
        </is>
      </c>
      <c r="D45" s="25" t="inlineStr">
        <is>
          <t>Chi tiết đơn của tôi</t>
        </is>
      </c>
      <c r="E45" s="24" t="inlineStr">
        <is>
          <t>GET</t>
        </is>
      </c>
      <c r="F45" s="25" t="inlineStr">
        <is>
          <t>/api/v1/me/orders/{id}</t>
        </is>
      </c>
      <c r="G45" s="24" t="inlineStr">
        <is>
          <t>Query</t>
        </is>
      </c>
      <c r="H45" s="25" t="inlineStr">
        <is>
          <t>UC-SPA-11, UC-SPA-12</t>
        </is>
      </c>
      <c r="I45" s="25" t="inlineStr">
        <is>
          <t>SCR-W11, SCR-W12, SCR-W19, SCR-M20</t>
        </is>
      </c>
      <c r="J45" s="25" t="inlineStr">
        <is>
          <t>CUS</t>
        </is>
      </c>
      <c r="K45" s="25" t="inlineStr">
        <is>
          <t>—</t>
        </is>
      </c>
      <c r="L45" s="25" t="inlineStr">
        <is>
          <t>DonHangDetailDto{chiTiet[], thanhToan[], apDungKhuyenMai?}</t>
        </is>
      </c>
      <c r="M45" s="24" t="inlineStr">
        <is>
          <t>200</t>
        </is>
      </c>
      <c r="N45" s="25" t="inlineStr">
        <is>
          <t>Trang kết quả poll tối đa 10 × 2s</t>
        </is>
      </c>
      <c r="O45" s="24" t="inlineStr">
        <is>
          <t>Đề xuất</t>
        </is>
      </c>
    </row>
    <row r="46">
      <c r="A46" s="26" t="inlineStr">
        <is>
          <t>SPA-API-042</t>
        </is>
      </c>
      <c r="B46" s="26" t="inlineStr">
        <is>
          <t>ORD</t>
        </is>
      </c>
      <c r="C46" s="27" t="inlineStr">
        <is>
          <t>Giỏ hàng, đơn hàng &amp; thanh toán</t>
        </is>
      </c>
      <c r="D46" s="27" t="inlineStr">
        <is>
          <t>Hủy đơn của tôi</t>
        </is>
      </c>
      <c r="E46" s="26" t="inlineStr">
        <is>
          <t>POST</t>
        </is>
      </c>
      <c r="F46" s="27" t="inlineStr">
        <is>
          <t>/api/v1/me/orders/{id}/cancel</t>
        </is>
      </c>
      <c r="G46" s="26" t="inlineStr">
        <is>
          <t>Command</t>
        </is>
      </c>
      <c r="H46" s="27" t="inlineStr">
        <is>
          <t>UC-SPA-12</t>
        </is>
      </c>
      <c r="I46" s="27" t="inlineStr">
        <is>
          <t>SCR-W19, SCR-M20</t>
        </is>
      </c>
      <c r="J46" s="27" t="inlineStr">
        <is>
          <t>CUS</t>
        </is>
      </c>
      <c r="K46" s="27" t="inlineStr">
        <is>
          <t>—</t>
        </is>
      </c>
      <c r="L46" s="27" t="inlineStr">
        <is>
          <t>DonHangDto</t>
        </is>
      </c>
      <c r="M46" s="26" t="inlineStr">
        <is>
          <t>200</t>
        </is>
      </c>
      <c r="N46" s="27" t="inlineStr">
        <is>
          <t>Chỉ ChoThanhToan; hủy lịch giữ chỗ liên quan</t>
        </is>
      </c>
      <c r="O46" s="26" t="inlineStr">
        <is>
          <t>Đề xuất</t>
        </is>
      </c>
    </row>
    <row r="47">
      <c r="A47" s="24" t="inlineStr">
        <is>
          <t>SPA-API-043</t>
        </is>
      </c>
      <c r="B47" s="24" t="inlineStr">
        <is>
          <t>ORD</t>
        </is>
      </c>
      <c r="C47" s="25" t="inlineStr">
        <is>
          <t>Giỏ hàng, đơn hàng &amp; thanh toán</t>
        </is>
      </c>
      <c r="D47" s="25" t="inlineStr">
        <is>
          <t>Danh sách đơn hàng</t>
        </is>
      </c>
      <c r="E47" s="24" t="inlineStr">
        <is>
          <t>GET</t>
        </is>
      </c>
      <c r="F47" s="25" t="inlineStr">
        <is>
          <t>/api/v1/orders</t>
        </is>
      </c>
      <c r="G47" s="24" t="inlineStr">
        <is>
          <t>Query</t>
        </is>
      </c>
      <c r="H47" s="25" t="inlineStr">
        <is>
          <t>UC-SPA-13, UC-SPA-33</t>
        </is>
      </c>
      <c r="I47" s="25" t="inlineStr">
        <is>
          <t>SCR-W37</t>
        </is>
      </c>
      <c r="J47" s="25" t="inlineStr">
        <is>
          <t>OWN</t>
        </is>
      </c>
      <c r="K47" s="25" t="inlineStr">
        <is>
          <t>?q (mã đơn, khách)&amp;trangThai&amp;tuNgay&amp;denNgay&amp;page&amp;pageSize</t>
        </is>
      </c>
      <c r="L47" s="25" t="inlineStr">
        <is>
          <t>PagedResult&lt;DonHangListItemDto&gt;</t>
        </is>
      </c>
      <c r="M47" s="24" t="inlineStr">
        <is>
          <t>200</t>
        </is>
      </c>
      <c r="N47" s="25" t="inlineStr"/>
      <c r="O47" s="24" t="inlineStr">
        <is>
          <t>Đề xuất</t>
        </is>
      </c>
    </row>
    <row r="48">
      <c r="A48" s="26" t="inlineStr">
        <is>
          <t>SPA-API-044</t>
        </is>
      </c>
      <c r="B48" s="26" t="inlineStr">
        <is>
          <t>ORD</t>
        </is>
      </c>
      <c r="C48" s="27" t="inlineStr">
        <is>
          <t>Giỏ hàng, đơn hàng &amp; thanh toán</t>
        </is>
      </c>
      <c r="D48" s="27" t="inlineStr">
        <is>
          <t>Chi tiết đơn hàng</t>
        </is>
      </c>
      <c r="E48" s="26" t="inlineStr">
        <is>
          <t>GET</t>
        </is>
      </c>
      <c r="F48" s="27" t="inlineStr">
        <is>
          <t>/api/v1/orders/{id}</t>
        </is>
      </c>
      <c r="G48" s="26" t="inlineStr">
        <is>
          <t>Query</t>
        </is>
      </c>
      <c r="H48" s="27" t="inlineStr">
        <is>
          <t>UC-SPA-13</t>
        </is>
      </c>
      <c r="I48" s="27" t="inlineStr">
        <is>
          <t>SCR-W37</t>
        </is>
      </c>
      <c r="J48" s="27" t="inlineStr">
        <is>
          <t>OWN</t>
        </is>
      </c>
      <c r="K48" s="27" t="inlineStr">
        <is>
          <t>—</t>
        </is>
      </c>
      <c r="L48" s="27" t="inlineStr">
        <is>
          <t>DonHangDetailDto</t>
        </is>
      </c>
      <c r="M48" s="26" t="inlineStr">
        <is>
          <t>200</t>
        </is>
      </c>
      <c r="N48" s="27" t="inlineStr"/>
      <c r="O48" s="26" t="inlineStr">
        <is>
          <t>Đề xuất</t>
        </is>
      </c>
    </row>
    <row r="49">
      <c r="A49" s="24" t="inlineStr">
        <is>
          <t>SPA-API-045</t>
        </is>
      </c>
      <c r="B49" s="24" t="inlineStr">
        <is>
          <t>ORD</t>
        </is>
      </c>
      <c r="C49" s="25" t="inlineStr">
        <is>
          <t>Giỏ hàng, đơn hàng &amp; thanh toán</t>
        </is>
      </c>
      <c r="D49" s="25" t="inlineStr">
        <is>
          <t>Hủy đơn chưa thanh toán</t>
        </is>
      </c>
      <c r="E49" s="24" t="inlineStr">
        <is>
          <t>POST</t>
        </is>
      </c>
      <c r="F49" s="25" t="inlineStr">
        <is>
          <t>/api/v1/orders/{id}/cancel</t>
        </is>
      </c>
      <c r="G49" s="24" t="inlineStr">
        <is>
          <t>Command</t>
        </is>
      </c>
      <c r="H49" s="25" t="inlineStr">
        <is>
          <t>UC-SPA-13</t>
        </is>
      </c>
      <c r="I49" s="25" t="inlineStr">
        <is>
          <t>SCR-W37</t>
        </is>
      </c>
      <c r="J49" s="25" t="inlineStr">
        <is>
          <t>OWN</t>
        </is>
      </c>
      <c r="K49" s="25" t="inlineStr">
        <is>
          <t>{lyDo}</t>
        </is>
      </c>
      <c r="L49" s="25" t="inlineStr">
        <is>
          <t>DonHangDto</t>
        </is>
      </c>
      <c r="M49" s="24" t="inlineStr">
        <is>
          <t>200</t>
        </is>
      </c>
      <c r="N49" s="25" t="inlineStr">
        <is>
          <t>409 ORDER_NOT_CANCELLABLE</t>
        </is>
      </c>
      <c r="O49" s="24" t="inlineStr">
        <is>
          <t>Đề xuất</t>
        </is>
      </c>
    </row>
    <row r="50">
      <c r="A50" s="26" t="inlineStr">
        <is>
          <t>SPA-API-046</t>
        </is>
      </c>
      <c r="B50" s="26" t="inlineStr">
        <is>
          <t>PRM</t>
        </is>
      </c>
      <c r="C50" s="27" t="inlineStr">
        <is>
          <t>Khuyến mãi</t>
        </is>
      </c>
      <c r="D50" s="27" t="inlineStr">
        <is>
          <t>Danh sách khuyến mãi</t>
        </is>
      </c>
      <c r="E50" s="26" t="inlineStr">
        <is>
          <t>GET</t>
        </is>
      </c>
      <c r="F50" s="27" t="inlineStr">
        <is>
          <t>/api/v1/promotions</t>
        </is>
      </c>
      <c r="G50" s="26" t="inlineStr">
        <is>
          <t>Query</t>
        </is>
      </c>
      <c r="H50" s="27" t="inlineStr">
        <is>
          <t>UC-SPA-14</t>
        </is>
      </c>
      <c r="I50" s="27" t="inlineStr">
        <is>
          <t>SCR-W35</t>
        </is>
      </c>
      <c r="J50" s="27" t="inlineStr">
        <is>
          <t>OWN</t>
        </is>
      </c>
      <c r="K50" s="27" t="inlineStr">
        <is>
          <t>?q&amp;trangThai&amp;tuNgay&amp;denNgay&amp;page&amp;pageSize</t>
        </is>
      </c>
      <c r="L50" s="27" t="inlineStr">
        <is>
          <t>PagedResult&lt;KhuyenMaiDto{…, daSuDung}&gt;</t>
        </is>
      </c>
      <c r="M50" s="26" t="inlineStr">
        <is>
          <t>200</t>
        </is>
      </c>
      <c r="N50" s="27" t="inlineStr"/>
      <c r="O50" s="26" t="inlineStr">
        <is>
          <t>Đề xuất</t>
        </is>
      </c>
    </row>
    <row r="51">
      <c r="A51" s="24" t="inlineStr">
        <is>
          <t>SPA-API-047</t>
        </is>
      </c>
      <c r="B51" s="24" t="inlineStr">
        <is>
          <t>PRM</t>
        </is>
      </c>
      <c r="C51" s="25" t="inlineStr">
        <is>
          <t>Khuyến mãi</t>
        </is>
      </c>
      <c r="D51" s="25" t="inlineStr">
        <is>
          <t>Chi tiết khuyến mãi</t>
        </is>
      </c>
      <c r="E51" s="24" t="inlineStr">
        <is>
          <t>GET</t>
        </is>
      </c>
      <c r="F51" s="25" t="inlineStr">
        <is>
          <t>/api/v1/promotions/{id}</t>
        </is>
      </c>
      <c r="G51" s="24" t="inlineStr">
        <is>
          <t>Query</t>
        </is>
      </c>
      <c r="H51" s="25" t="inlineStr">
        <is>
          <t>UC-SPA-14</t>
        </is>
      </c>
      <c r="I51" s="25" t="inlineStr">
        <is>
          <t>SCR-W35</t>
        </is>
      </c>
      <c r="J51" s="25" t="inlineStr">
        <is>
          <t>OWN</t>
        </is>
      </c>
      <c r="K51" s="25" t="inlineStr">
        <is>
          <t>—</t>
        </is>
      </c>
      <c r="L51" s="25" t="inlineStr">
        <is>
          <t>KhuyenMaiDto</t>
        </is>
      </c>
      <c r="M51" s="24" t="inlineStr">
        <is>
          <t>200</t>
        </is>
      </c>
      <c r="N51" s="25" t="inlineStr"/>
      <c r="O51" s="24" t="inlineStr">
        <is>
          <t>Đề xuất</t>
        </is>
      </c>
    </row>
    <row r="52">
      <c r="A52" s="26" t="inlineStr">
        <is>
          <t>SPA-API-048</t>
        </is>
      </c>
      <c r="B52" s="26" t="inlineStr">
        <is>
          <t>PRM</t>
        </is>
      </c>
      <c r="C52" s="27" t="inlineStr">
        <is>
          <t>Khuyến mãi</t>
        </is>
      </c>
      <c r="D52" s="27" t="inlineStr">
        <is>
          <t>Thêm khuyến mãi</t>
        </is>
      </c>
      <c r="E52" s="26" t="inlineStr">
        <is>
          <t>POST</t>
        </is>
      </c>
      <c r="F52" s="27" t="inlineStr">
        <is>
          <t>/api/v1/promotions</t>
        </is>
      </c>
      <c r="G52" s="26" t="inlineStr">
        <is>
          <t>Command</t>
        </is>
      </c>
      <c r="H52" s="27" t="inlineStr">
        <is>
          <t>UC-SPA-14</t>
        </is>
      </c>
      <c r="I52" s="27" t="inlineStr">
        <is>
          <t>SCR-W35</t>
        </is>
      </c>
      <c r="J52" s="27" t="inlineStr">
        <is>
          <t>OWN</t>
        </is>
      </c>
      <c r="K52" s="27" t="inlineStr">
        <is>
          <t>{maCode, moTa, loaiGiamGia, giaTri, giaTriDonHangToiThieu, giaTriGiamToiDa, ngayBatDau, ngayKetThuc, gioiHanMoiKhach, soLuong}</t>
        </is>
      </c>
      <c r="L52" s="27" t="inlineStr">
        <is>
          <t>KhuyenMaiDto</t>
        </is>
      </c>
      <c r="M52" s="26" t="inlineStr">
        <is>
          <t>201</t>
        </is>
      </c>
      <c r="N52" s="27" t="inlineStr">
        <is>
          <t>409 CODE_EXISTS</t>
        </is>
      </c>
      <c r="O52" s="26" t="inlineStr">
        <is>
          <t>Đề xuất</t>
        </is>
      </c>
    </row>
    <row r="53">
      <c r="A53" s="24" t="inlineStr">
        <is>
          <t>SPA-API-049</t>
        </is>
      </c>
      <c r="B53" s="24" t="inlineStr">
        <is>
          <t>PRM</t>
        </is>
      </c>
      <c r="C53" s="25" t="inlineStr">
        <is>
          <t>Khuyến mãi</t>
        </is>
      </c>
      <c r="D53" s="25" t="inlineStr">
        <is>
          <t>Sửa khuyến mãi</t>
        </is>
      </c>
      <c r="E53" s="24" t="inlineStr">
        <is>
          <t>PUT</t>
        </is>
      </c>
      <c r="F53" s="25" t="inlineStr">
        <is>
          <t>/api/v1/promotions/{id}</t>
        </is>
      </c>
      <c r="G53" s="24" t="inlineStr">
        <is>
          <t>Command</t>
        </is>
      </c>
      <c r="H53" s="25" t="inlineStr">
        <is>
          <t>UC-SPA-14</t>
        </is>
      </c>
      <c r="I53" s="25" t="inlineStr">
        <is>
          <t>SCR-W35</t>
        </is>
      </c>
      <c r="J53" s="25" t="inlineStr">
        <is>
          <t>OWN</t>
        </is>
      </c>
      <c r="K53" s="25" t="inlineStr">
        <is>
          <t>như thêm</t>
        </is>
      </c>
      <c r="L53" s="25" t="inlineStr">
        <is>
          <t>KhuyenMaiDto</t>
        </is>
      </c>
      <c r="M53" s="24" t="inlineStr">
        <is>
          <t>200</t>
        </is>
      </c>
      <c r="N53" s="25" t="inlineStr">
        <is>
          <t>409 PROMO_IN_USE nếu đổi loại/giá trị khi đã có lượt dùng</t>
        </is>
      </c>
      <c r="O53" s="24" t="inlineStr">
        <is>
          <t>Đề xuất</t>
        </is>
      </c>
    </row>
    <row r="54">
      <c r="A54" s="26" t="inlineStr">
        <is>
          <t>SPA-API-050</t>
        </is>
      </c>
      <c r="B54" s="26" t="inlineStr">
        <is>
          <t>PRM</t>
        </is>
      </c>
      <c r="C54" s="27" t="inlineStr">
        <is>
          <t>Khuyến mãi</t>
        </is>
      </c>
      <c r="D54" s="27" t="inlineStr">
        <is>
          <t>Ngừng / mở lại khuyến mãi</t>
        </is>
      </c>
      <c r="E54" s="26" t="inlineStr">
        <is>
          <t>PATCH</t>
        </is>
      </c>
      <c r="F54" s="27" t="inlineStr">
        <is>
          <t>/api/v1/promotions/{id}/status</t>
        </is>
      </c>
      <c r="G54" s="26" t="inlineStr">
        <is>
          <t>Command</t>
        </is>
      </c>
      <c r="H54" s="27" t="inlineStr">
        <is>
          <t>UC-SPA-14</t>
        </is>
      </c>
      <c r="I54" s="27" t="inlineStr">
        <is>
          <t>SCR-W35</t>
        </is>
      </c>
      <c r="J54" s="27" t="inlineStr">
        <is>
          <t>OWN</t>
        </is>
      </c>
      <c r="K54" s="27" t="inlineStr">
        <is>
          <t>{trangThai: HoatDong|NgungApDung}</t>
        </is>
      </c>
      <c r="L54" s="27" t="inlineStr">
        <is>
          <t>—</t>
        </is>
      </c>
      <c r="M54" s="26" t="inlineStr">
        <is>
          <t>204</t>
        </is>
      </c>
      <c r="N54" s="27" t="inlineStr"/>
      <c r="O54" s="26" t="inlineStr">
        <is>
          <t>Đề xuất</t>
        </is>
      </c>
    </row>
    <row r="55">
      <c r="A55" s="24" t="inlineStr">
        <is>
          <t>SPA-API-051</t>
        </is>
      </c>
      <c r="B55" s="24" t="inlineStr">
        <is>
          <t>BKG</t>
        </is>
      </c>
      <c r="C55" s="25" t="inlineStr">
        <is>
          <t>Đặt lịch &amp; lịch hẹn</t>
        </is>
      </c>
      <c r="D55" s="25" t="inlineStr">
        <is>
          <t>Tìm giờ trống</t>
        </is>
      </c>
      <c r="E55" s="24" t="inlineStr">
        <is>
          <t>GET</t>
        </is>
      </c>
      <c r="F55" s="25" t="inlineStr">
        <is>
          <t>/api/v1/availability</t>
        </is>
      </c>
      <c r="G55" s="24" t="inlineStr">
        <is>
          <t>Query</t>
        </is>
      </c>
      <c r="H55" s="25" t="inlineStr">
        <is>
          <t>UC-SPA-15, UC-SPA-16, UC-SPA-17</t>
        </is>
      </c>
      <c r="I55" s="25" t="inlineStr">
        <is>
          <t>SCR-W13, SCR-W15, SCR-W34, SCR-M12, SCR-M18</t>
        </is>
      </c>
      <c r="J55" s="25" t="inlineStr">
        <is>
          <t>ALL</t>
        </is>
      </c>
      <c r="K55" s="25" t="inlineStr">
        <is>
          <t>?idDichVu&amp;ngay&amp;idNhanVien?&amp;idBuoiChamSoc?</t>
        </is>
      </c>
      <c r="L55" s="25" t="inlineStr">
        <is>
          <t>{ngay, nhanVien[{id, hoTen, khungGio[{gioBatDau, gioKetThuc}]}]}</t>
        </is>
      </c>
      <c r="M55" s="24" t="inlineStr">
        <is>
          <t>200</t>
        </is>
      </c>
      <c r="N55" s="25" t="inlineStr">
        <is>
          <t>Lõi thuật toán — 09_Thuat_toan_lich</t>
        </is>
      </c>
      <c r="O55" s="24" t="inlineStr">
        <is>
          <t>Đề xuất</t>
        </is>
      </c>
    </row>
    <row r="56">
      <c r="A56" s="26" t="inlineStr">
        <is>
          <t>SPA-API-052</t>
        </is>
      </c>
      <c r="B56" s="26" t="inlineStr">
        <is>
          <t>BKG</t>
        </is>
      </c>
      <c r="C56" s="27" t="inlineStr">
        <is>
          <t>Đặt lịch &amp; lịch hẹn</t>
        </is>
      </c>
      <c r="D56" s="27" t="inlineStr">
        <is>
          <t>Đặt ngay (luồng 1: giữ chỗ + tạo đơn)</t>
        </is>
      </c>
      <c r="E56" s="26" t="inlineStr">
        <is>
          <t>POST</t>
        </is>
      </c>
      <c r="F56" s="27" t="inlineStr">
        <is>
          <t>/api/v1/me/appointments/book-now</t>
        </is>
      </c>
      <c r="G56" s="26" t="inlineStr">
        <is>
          <t>Command</t>
        </is>
      </c>
      <c r="H56" s="27" t="inlineStr">
        <is>
          <t>UC-SPA-15</t>
        </is>
      </c>
      <c r="I56" s="27" t="inlineStr">
        <is>
          <t>SCR-W13, SCR-M18</t>
        </is>
      </c>
      <c r="J56" s="27" t="inlineStr">
        <is>
          <t>CUS</t>
        </is>
      </c>
      <c r="K56" s="27" t="inlineStr">
        <is>
          <t>{idDichVu, ngay, gioBatDau, idNhanVien, maKhuyenMai?}</t>
        </is>
      </c>
      <c r="L56" s="27" t="inlineStr">
        <is>
          <t>{idLichHen, trangThai: GiuCho, giuChoDen, idDonHang}</t>
        </is>
      </c>
      <c r="M56" s="26" t="inlineStr">
        <is>
          <t>201</t>
        </is>
      </c>
      <c r="N56" s="27" t="inlineStr">
        <is>
          <t>Idempotency-Key; 409 SLOT_UNAVAILABLE; tiếp theo gọi SPA-API-037</t>
        </is>
      </c>
      <c r="O56" s="26" t="inlineStr">
        <is>
          <t>Đề xuất</t>
        </is>
      </c>
    </row>
    <row r="57">
      <c r="A57" s="24" t="inlineStr">
        <is>
          <t>SPA-API-053</t>
        </is>
      </c>
      <c r="B57" s="24" t="inlineStr">
        <is>
          <t>BKG</t>
        </is>
      </c>
      <c r="C57" s="25" t="inlineStr">
        <is>
          <t>Đặt lịch &amp; lịch hẹn</t>
        </is>
      </c>
      <c r="D57" s="25" t="inlineStr">
        <is>
          <t>Đặt lịch từ dịch vụ/gói đã mua (luồng 2)</t>
        </is>
      </c>
      <c r="E57" s="24" t="inlineStr">
        <is>
          <t>POST</t>
        </is>
      </c>
      <c r="F57" s="25" t="inlineStr">
        <is>
          <t>/api/v1/me/appointments</t>
        </is>
      </c>
      <c r="G57" s="24" t="inlineStr">
        <is>
          <t>Command</t>
        </is>
      </c>
      <c r="H57" s="25" t="inlineStr">
        <is>
          <t>UC-SPA-15, UC-SPA-18, UC-SPA-19</t>
        </is>
      </c>
      <c r="I57" s="25" t="inlineStr">
        <is>
          <t>SCR-W13, SCR-M18</t>
        </is>
      </c>
      <c r="J57" s="25" t="inlineStr">
        <is>
          <t>CUS</t>
        </is>
      </c>
      <c r="K57" s="25" t="inlineStr">
        <is>
          <t>{idDichVuKhachHang? | idBuoiChamSoc?, ngay, gioBatDau, idNhanVien}</t>
        </is>
      </c>
      <c r="L57" s="25" t="inlineStr">
        <is>
          <t>LichHenDto{trangThai: ChoXacNhan|DaXacNhan}</t>
        </is>
      </c>
      <c r="M57" s="24" t="inlineStr">
        <is>
          <t>201</t>
        </is>
      </c>
      <c r="N57" s="25" t="inlineStr">
        <is>
          <t>Idempotency-Key; 400 ENTITLEMENT_NOT_ELIGIBLE (E1); 409 SLOT_UNAVAILABLE (E2)</t>
        </is>
      </c>
      <c r="O57" s="24" t="inlineStr">
        <is>
          <t>Đề xuất</t>
        </is>
      </c>
    </row>
    <row r="58">
      <c r="A58" s="26" t="inlineStr">
        <is>
          <t>SPA-API-054</t>
        </is>
      </c>
      <c r="B58" s="26" t="inlineStr">
        <is>
          <t>BKG</t>
        </is>
      </c>
      <c r="C58" s="27" t="inlineStr">
        <is>
          <t>Đặt lịch &amp; lịch hẹn</t>
        </is>
      </c>
      <c r="D58" s="27" t="inlineStr">
        <is>
          <t>Lịch hẹn của tôi</t>
        </is>
      </c>
      <c r="E58" s="26" t="inlineStr">
        <is>
          <t>GET</t>
        </is>
      </c>
      <c r="F58" s="27" t="inlineStr">
        <is>
          <t>/api/v1/me/appointments</t>
        </is>
      </c>
      <c r="G58" s="26" t="inlineStr">
        <is>
          <t>Query</t>
        </is>
      </c>
      <c r="H58" s="27" t="inlineStr">
        <is>
          <t>UC-SPA-16</t>
        </is>
      </c>
      <c r="I58" s="27" t="inlineStr">
        <is>
          <t>SCR-W14, SCR-M10, SCR-M11</t>
        </is>
      </c>
      <c r="J58" s="27" t="inlineStr">
        <is>
          <t>CUS</t>
        </is>
      </c>
      <c r="K58" s="27" t="inlineStr">
        <is>
          <t>?trangThai&amp;tuNgay&amp;denNgay&amp;page&amp;pageSize</t>
        </is>
      </c>
      <c r="L58" s="27" t="inlineStr">
        <is>
          <t>PagedResult&lt;LichHenListItemDto&gt;</t>
        </is>
      </c>
      <c r="M58" s="26" t="inlineStr">
        <is>
          <t>200</t>
        </is>
      </c>
      <c r="N58" s="27" t="inlineStr"/>
      <c r="O58" s="26" t="inlineStr">
        <is>
          <t>Đề xuất</t>
        </is>
      </c>
    </row>
    <row r="59">
      <c r="A59" s="24" t="inlineStr">
        <is>
          <t>SPA-API-055</t>
        </is>
      </c>
      <c r="B59" s="24" t="inlineStr">
        <is>
          <t>BKG</t>
        </is>
      </c>
      <c r="C59" s="25" t="inlineStr">
        <is>
          <t>Đặt lịch &amp; lịch hẹn</t>
        </is>
      </c>
      <c r="D59" s="25" t="inlineStr">
        <is>
          <t>Chi tiết lịch hẹn của tôi</t>
        </is>
      </c>
      <c r="E59" s="24" t="inlineStr">
        <is>
          <t>GET</t>
        </is>
      </c>
      <c r="F59" s="25" t="inlineStr">
        <is>
          <t>/api/v1/me/appointments/{id}</t>
        </is>
      </c>
      <c r="G59" s="24" t="inlineStr">
        <is>
          <t>Query</t>
        </is>
      </c>
      <c r="H59" s="25" t="inlineStr">
        <is>
          <t>UC-SPA-16</t>
        </is>
      </c>
      <c r="I59" s="25" t="inlineStr">
        <is>
          <t>SCR-W15, SCR-M12</t>
        </is>
      </c>
      <c r="J59" s="25" t="inlineStr">
        <is>
          <t>CUS</t>
        </is>
      </c>
      <c r="K59" s="25" t="inlineStr">
        <is>
          <t>—</t>
        </is>
      </c>
      <c r="L59" s="25" t="inlineStr">
        <is>
          <t>LichHenDetailDto</t>
        </is>
      </c>
      <c r="M59" s="24" t="inlineStr">
        <is>
          <t>200</t>
        </is>
      </c>
      <c r="N59" s="25" t="inlineStr"/>
      <c r="O59" s="24" t="inlineStr">
        <is>
          <t>Đề xuất</t>
        </is>
      </c>
    </row>
    <row r="60">
      <c r="A60" s="26" t="inlineStr">
        <is>
          <t>SPA-API-056</t>
        </is>
      </c>
      <c r="B60" s="26" t="inlineStr">
        <is>
          <t>BKG</t>
        </is>
      </c>
      <c r="C60" s="27" t="inlineStr">
        <is>
          <t>Đặt lịch &amp; lịch hẹn</t>
        </is>
      </c>
      <c r="D60" s="27" t="inlineStr">
        <is>
          <t>Đổi lịch (khách)</t>
        </is>
      </c>
      <c r="E60" s="26" t="inlineStr">
        <is>
          <t>POST</t>
        </is>
      </c>
      <c r="F60" s="27" t="inlineStr">
        <is>
          <t>/api/v1/me/appointments/{id}/reschedule</t>
        </is>
      </c>
      <c r="G60" s="26" t="inlineStr">
        <is>
          <t>Command</t>
        </is>
      </c>
      <c r="H60" s="27" t="inlineStr">
        <is>
          <t>UC-SPA-16</t>
        </is>
      </c>
      <c r="I60" s="27" t="inlineStr">
        <is>
          <t>SCR-W15, SCR-M12</t>
        </is>
      </c>
      <c r="J60" s="27" t="inlineStr">
        <is>
          <t>CUS</t>
        </is>
      </c>
      <c r="K60" s="27" t="inlineStr">
        <is>
          <t>{ngay, gioBatDau, idNhanVien}</t>
        </is>
      </c>
      <c r="L60" s="27" t="inlineStr">
        <is>
          <t>LichHenDto</t>
        </is>
      </c>
      <c r="M60" s="26" t="inlineStr">
        <is>
          <t>200</t>
        </is>
      </c>
      <c r="N60" s="27" t="inlineStr">
        <is>
          <t>409 SLOT_UNAVAILABLE; 400 CHANGE_WINDOW_PASSED</t>
        </is>
      </c>
      <c r="O60" s="26" t="inlineStr">
        <is>
          <t>Đề xuất</t>
        </is>
      </c>
    </row>
    <row r="61">
      <c r="A61" s="24" t="inlineStr">
        <is>
          <t>SPA-API-057</t>
        </is>
      </c>
      <c r="B61" s="24" t="inlineStr">
        <is>
          <t>BKG</t>
        </is>
      </c>
      <c r="C61" s="25" t="inlineStr">
        <is>
          <t>Đặt lịch &amp; lịch hẹn</t>
        </is>
      </c>
      <c r="D61" s="25" t="inlineStr">
        <is>
          <t>Hủy lịch (khách)</t>
        </is>
      </c>
      <c r="E61" s="24" t="inlineStr">
        <is>
          <t>POST</t>
        </is>
      </c>
      <c r="F61" s="25" t="inlineStr">
        <is>
          <t>/api/v1/me/appointments/{id}/cancel</t>
        </is>
      </c>
      <c r="G61" s="24" t="inlineStr">
        <is>
          <t>Command</t>
        </is>
      </c>
      <c r="H61" s="25" t="inlineStr">
        <is>
          <t>UC-SPA-16</t>
        </is>
      </c>
      <c r="I61" s="25" t="inlineStr">
        <is>
          <t>SCR-W14, SCR-W15, SCR-M12</t>
        </is>
      </c>
      <c r="J61" s="25" t="inlineStr">
        <is>
          <t>CUS</t>
        </is>
      </c>
      <c r="K61" s="25" t="inlineStr">
        <is>
          <t>{lyDo}</t>
        </is>
      </c>
      <c r="L61" s="25" t="inlineStr">
        <is>
          <t>LichHenDto</t>
        </is>
      </c>
      <c r="M61" s="24" t="inlineStr">
        <is>
          <t>200</t>
        </is>
      </c>
      <c r="N61" s="25" t="inlineStr">
        <is>
          <t>Trả lại quyền sử dụng / buổi</t>
        </is>
      </c>
      <c r="O61" s="24" t="inlineStr">
        <is>
          <t>Đề xuất</t>
        </is>
      </c>
    </row>
    <row r="62">
      <c r="A62" s="26" t="inlineStr">
        <is>
          <t>SPA-API-058</t>
        </is>
      </c>
      <c r="B62" s="26" t="inlineStr">
        <is>
          <t>BKG</t>
        </is>
      </c>
      <c r="C62" s="27" t="inlineStr">
        <is>
          <t>Đặt lịch &amp; lịch hẹn</t>
        </is>
      </c>
      <c r="D62" s="27" t="inlineStr">
        <is>
          <t>Danh sách lịch hẹn (chủ spa)</t>
        </is>
      </c>
      <c r="E62" s="26" t="inlineStr">
        <is>
          <t>GET</t>
        </is>
      </c>
      <c r="F62" s="27" t="inlineStr">
        <is>
          <t>/api/v1/appointments</t>
        </is>
      </c>
      <c r="G62" s="26" t="inlineStr">
        <is>
          <t>Query</t>
        </is>
      </c>
      <c r="H62" s="27" t="inlineStr">
        <is>
          <t>UC-SPA-17</t>
        </is>
      </c>
      <c r="I62" s="27" t="inlineStr">
        <is>
          <t>SCR-W34, SCR-M31</t>
        </is>
      </c>
      <c r="J62" s="27" t="inlineStr">
        <is>
          <t>OWN</t>
        </is>
      </c>
      <c r="K62" s="27" t="inlineStr">
        <is>
          <t>?tuNgay&amp;denNgay&amp;idNhanVien&amp;trangThai&amp;q&amp;view=list|calendar</t>
        </is>
      </c>
      <c r="L62" s="27" t="inlineStr">
        <is>
          <t>PagedResult&lt;LichHenListItemDto&gt; | CalendarDto</t>
        </is>
      </c>
      <c r="M62" s="26" t="inlineStr">
        <is>
          <t>200</t>
        </is>
      </c>
      <c r="N62" s="27" t="inlineStr"/>
      <c r="O62" s="26" t="inlineStr">
        <is>
          <t>Đề xuất</t>
        </is>
      </c>
    </row>
    <row r="63">
      <c r="A63" s="24" t="inlineStr">
        <is>
          <t>SPA-API-059</t>
        </is>
      </c>
      <c r="B63" s="24" t="inlineStr">
        <is>
          <t>BKG</t>
        </is>
      </c>
      <c r="C63" s="25" t="inlineStr">
        <is>
          <t>Đặt lịch &amp; lịch hẹn</t>
        </is>
      </c>
      <c r="D63" s="25" t="inlineStr">
        <is>
          <t>Chi tiết lịch hẹn</t>
        </is>
      </c>
      <c r="E63" s="24" t="inlineStr">
        <is>
          <t>GET</t>
        </is>
      </c>
      <c r="F63" s="25" t="inlineStr">
        <is>
          <t>/api/v1/appointments/{id}</t>
        </is>
      </c>
      <c r="G63" s="24" t="inlineStr">
        <is>
          <t>Query</t>
        </is>
      </c>
      <c r="H63" s="25" t="inlineStr">
        <is>
          <t>UC-SPA-17, UC-SPA-25</t>
        </is>
      </c>
      <c r="I63" s="25" t="inlineStr">
        <is>
          <t>SCR-W27, SCR-W34, SCR-M26, SCR-M31</t>
        </is>
      </c>
      <c r="J63" s="25" t="inlineStr">
        <is>
          <t>OWN, STF (được phân công)</t>
        </is>
      </c>
      <c r="K63" s="25" t="inlineStr">
        <is>
          <t>—</t>
        </is>
      </c>
      <c r="L63" s="25" t="inlineStr">
        <is>
          <t>LichHenDetailDto{khachHang, diUng[], dichVu, buoi?, hoSoDa?}</t>
        </is>
      </c>
      <c r="M63" s="24" t="inlineStr">
        <is>
          <t>200</t>
        </is>
      </c>
      <c r="N63" s="25" t="inlineStr"/>
      <c r="O63" s="24" t="inlineStr">
        <is>
          <t>Đề xuất</t>
        </is>
      </c>
    </row>
    <row r="64">
      <c r="A64" s="26" t="inlineStr">
        <is>
          <t>SPA-API-060</t>
        </is>
      </c>
      <c r="B64" s="26" t="inlineStr">
        <is>
          <t>BKG</t>
        </is>
      </c>
      <c r="C64" s="27" t="inlineStr">
        <is>
          <t>Đặt lịch &amp; lịch hẹn</t>
        </is>
      </c>
      <c r="D64" s="27" t="inlineStr">
        <is>
          <t>Xác nhận lịch hẹn</t>
        </is>
      </c>
      <c r="E64" s="26" t="inlineStr">
        <is>
          <t>POST</t>
        </is>
      </c>
      <c r="F64" s="27" t="inlineStr">
        <is>
          <t>/api/v1/appointments/{id}/confirm</t>
        </is>
      </c>
      <c r="G64" s="26" t="inlineStr">
        <is>
          <t>Command</t>
        </is>
      </c>
      <c r="H64" s="27" t="inlineStr">
        <is>
          <t>UC-SPA-17</t>
        </is>
      </c>
      <c r="I64" s="27" t="inlineStr">
        <is>
          <t>SCR-W34, SCR-M31</t>
        </is>
      </c>
      <c r="J64" s="27" t="inlineStr">
        <is>
          <t>OWN</t>
        </is>
      </c>
      <c r="K64" s="27" t="inlineStr">
        <is>
          <t>—</t>
        </is>
      </c>
      <c r="L64" s="27" t="inlineStr">
        <is>
          <t>LichHenDto</t>
        </is>
      </c>
      <c r="M64" s="26" t="inlineStr">
        <is>
          <t>200</t>
        </is>
      </c>
      <c r="N64" s="27" t="inlineStr">
        <is>
          <t>Chỉ khi dùng trạng thái ChoXacNhan (cần chốt)</t>
        </is>
      </c>
      <c r="O64" s="26" t="inlineStr">
        <is>
          <t>Đề xuất</t>
        </is>
      </c>
    </row>
    <row r="65">
      <c r="A65" s="24" t="inlineStr">
        <is>
          <t>SPA-API-061</t>
        </is>
      </c>
      <c r="B65" s="24" t="inlineStr">
        <is>
          <t>BKG</t>
        </is>
      </c>
      <c r="C65" s="25" t="inlineStr">
        <is>
          <t>Đặt lịch &amp; lịch hẹn</t>
        </is>
      </c>
      <c r="D65" s="25" t="inlineStr">
        <is>
          <t>Đổi thời gian (chủ spa)</t>
        </is>
      </c>
      <c r="E65" s="24" t="inlineStr">
        <is>
          <t>POST</t>
        </is>
      </c>
      <c r="F65" s="25" t="inlineStr">
        <is>
          <t>/api/v1/appointments/{id}/reschedule</t>
        </is>
      </c>
      <c r="G65" s="24" t="inlineStr">
        <is>
          <t>Command</t>
        </is>
      </c>
      <c r="H65" s="25" t="inlineStr">
        <is>
          <t>UC-SPA-17</t>
        </is>
      </c>
      <c r="I65" s="25" t="inlineStr">
        <is>
          <t>SCR-W34</t>
        </is>
      </c>
      <c r="J65" s="25" t="inlineStr">
        <is>
          <t>OWN</t>
        </is>
      </c>
      <c r="K65" s="25" t="inlineStr">
        <is>
          <t>{ngay, gioBatDau}</t>
        </is>
      </c>
      <c r="L65" s="25" t="inlineStr">
        <is>
          <t>LichHenDto</t>
        </is>
      </c>
      <c r="M65" s="24" t="inlineStr">
        <is>
          <t>200</t>
        </is>
      </c>
      <c r="N65" s="25" t="inlineStr">
        <is>
          <t>E1 409 SLOT_UNAVAILABLE</t>
        </is>
      </c>
      <c r="O65" s="24" t="inlineStr">
        <is>
          <t>Đề xuất</t>
        </is>
      </c>
    </row>
    <row r="66">
      <c r="A66" s="26" t="inlineStr">
        <is>
          <t>SPA-API-062</t>
        </is>
      </c>
      <c r="B66" s="26" t="inlineStr">
        <is>
          <t>BKG</t>
        </is>
      </c>
      <c r="C66" s="27" t="inlineStr">
        <is>
          <t>Đặt lịch &amp; lịch hẹn</t>
        </is>
      </c>
      <c r="D66" s="27" t="inlineStr">
        <is>
          <t>Đổi nhân viên</t>
        </is>
      </c>
      <c r="E66" s="26" t="inlineStr">
        <is>
          <t>POST</t>
        </is>
      </c>
      <c r="F66" s="27" t="inlineStr">
        <is>
          <t>/api/v1/appointments/{id}/assign-staff</t>
        </is>
      </c>
      <c r="G66" s="26" t="inlineStr">
        <is>
          <t>Command</t>
        </is>
      </c>
      <c r="H66" s="27" t="inlineStr">
        <is>
          <t>UC-SPA-17</t>
        </is>
      </c>
      <c r="I66" s="27" t="inlineStr">
        <is>
          <t>SCR-W34, SCR-M31</t>
        </is>
      </c>
      <c r="J66" s="27" t="inlineStr">
        <is>
          <t>OWN</t>
        </is>
      </c>
      <c r="K66" s="27" t="inlineStr">
        <is>
          <t>{idNhanVien}</t>
        </is>
      </c>
      <c r="L66" s="27" t="inlineStr">
        <is>
          <t>LichHenDto</t>
        </is>
      </c>
      <c r="M66" s="26" t="inlineStr">
        <is>
          <t>200</t>
        </is>
      </c>
      <c r="N66" s="27" t="inlineStr">
        <is>
          <t>400 STAFF_NOT_QUALIFIED; 409 STAFF_BUSY</t>
        </is>
      </c>
      <c r="O66" s="26" t="inlineStr">
        <is>
          <t>Đề xuất</t>
        </is>
      </c>
    </row>
    <row r="67">
      <c r="A67" s="24" t="inlineStr">
        <is>
          <t>SPA-API-063</t>
        </is>
      </c>
      <c r="B67" s="24" t="inlineStr">
        <is>
          <t>BKG</t>
        </is>
      </c>
      <c r="C67" s="25" t="inlineStr">
        <is>
          <t>Đặt lịch &amp; lịch hẹn</t>
        </is>
      </c>
      <c r="D67" s="25" t="inlineStr">
        <is>
          <t>Hủy lịch (chủ spa)</t>
        </is>
      </c>
      <c r="E67" s="24" t="inlineStr">
        <is>
          <t>POST</t>
        </is>
      </c>
      <c r="F67" s="25" t="inlineStr">
        <is>
          <t>/api/v1/appointments/{id}/cancel</t>
        </is>
      </c>
      <c r="G67" s="24" t="inlineStr">
        <is>
          <t>Command</t>
        </is>
      </c>
      <c r="H67" s="25" t="inlineStr">
        <is>
          <t>UC-SPA-17</t>
        </is>
      </c>
      <c r="I67" s="25" t="inlineStr">
        <is>
          <t>SCR-W34, SCR-M31</t>
        </is>
      </c>
      <c r="J67" s="25" t="inlineStr">
        <is>
          <t>OWN</t>
        </is>
      </c>
      <c r="K67" s="25" t="inlineStr">
        <is>
          <t>{lyDo}</t>
        </is>
      </c>
      <c r="L67" s="25" t="inlineStr">
        <is>
          <t>LichHenDto</t>
        </is>
      </c>
      <c r="M67" s="24" t="inlineStr">
        <is>
          <t>200</t>
        </is>
      </c>
      <c r="N67" s="25" t="inlineStr"/>
      <c r="O67" s="24" t="inlineStr">
        <is>
          <t>Đề xuất</t>
        </is>
      </c>
    </row>
    <row r="68">
      <c r="A68" s="26" t="inlineStr">
        <is>
          <t>SPA-API-064</t>
        </is>
      </c>
      <c r="B68" s="26" t="inlineStr">
        <is>
          <t>BKG</t>
        </is>
      </c>
      <c r="C68" s="27" t="inlineStr">
        <is>
          <t>Đặt lịch &amp; lịch hẹn</t>
        </is>
      </c>
      <c r="D68" s="27" t="inlineStr">
        <is>
          <t>Ghi nhận khách không đến</t>
        </is>
      </c>
      <c r="E68" s="26" t="inlineStr">
        <is>
          <t>POST</t>
        </is>
      </c>
      <c r="F68" s="27" t="inlineStr">
        <is>
          <t>/api/v1/appointments/{id}/no-show</t>
        </is>
      </c>
      <c r="G68" s="26" t="inlineStr">
        <is>
          <t>Command</t>
        </is>
      </c>
      <c r="H68" s="27" t="inlineStr">
        <is>
          <t>UC-SPA-17</t>
        </is>
      </c>
      <c r="I68" s="27" t="inlineStr">
        <is>
          <t>SCR-W34</t>
        </is>
      </c>
      <c r="J68" s="27" t="inlineStr">
        <is>
          <t>OWN</t>
        </is>
      </c>
      <c r="K68" s="27" t="inlineStr">
        <is>
          <t>{ghiChu}</t>
        </is>
      </c>
      <c r="L68" s="27" t="inlineStr">
        <is>
          <t>LichHenDto</t>
        </is>
      </c>
      <c r="M68" s="26" t="inlineStr">
        <is>
          <t>200</t>
        </is>
      </c>
      <c r="N68" s="27" t="inlineStr">
        <is>
          <t>Chỉ sau giờ bắt đầu</t>
        </is>
      </c>
      <c r="O68" s="26" t="inlineStr">
        <is>
          <t>Đề xuất</t>
        </is>
      </c>
    </row>
    <row r="69">
      <c r="A69" s="24" t="inlineStr">
        <is>
          <t>SPA-API-065</t>
        </is>
      </c>
      <c r="B69" s="24" t="inlineStr">
        <is>
          <t>TRT</t>
        </is>
      </c>
      <c r="C69" s="25" t="inlineStr">
        <is>
          <t>Quyền sử dụng &amp; liệu trình</t>
        </is>
      </c>
      <c r="D69" s="25" t="inlineStr">
        <is>
          <t>Dịch vụ và gói đã mua</t>
        </is>
      </c>
      <c r="E69" s="24" t="inlineStr">
        <is>
          <t>GET</t>
        </is>
      </c>
      <c r="F69" s="25" t="inlineStr">
        <is>
          <t>/api/v1/me/purchases</t>
        </is>
      </c>
      <c r="G69" s="24" t="inlineStr">
        <is>
          <t>Query</t>
        </is>
      </c>
      <c r="H69" s="25" t="inlineStr">
        <is>
          <t>UC-SPA-18</t>
        </is>
      </c>
      <c r="I69" s="25" t="inlineStr">
        <is>
          <t>SCR-W16, SCR-M10, SCR-M14</t>
        </is>
      </c>
      <c r="J69" s="25" t="inlineStr">
        <is>
          <t>CUS</t>
        </is>
      </c>
      <c r="K69" s="25" t="inlineStr">
        <is>
          <t>?loai=DichVu|Goi&amp;trangThai</t>
        </is>
      </c>
      <c r="L69" s="25" t="inlineStr">
        <is>
          <t>{dichVu[DichVuKhachHangDto], goi[GoiKhachHangDto]}</t>
        </is>
      </c>
      <c r="M69" s="24" t="inlineStr">
        <is>
          <t>200</t>
        </is>
      </c>
      <c r="N69" s="25" t="inlineStr"/>
      <c r="O69" s="24" t="inlineStr">
        <is>
          <t>Đề xuất</t>
        </is>
      </c>
    </row>
    <row r="70">
      <c r="A70" s="26" t="inlineStr">
        <is>
          <t>SPA-API-066</t>
        </is>
      </c>
      <c r="B70" s="26" t="inlineStr">
        <is>
          <t>TRT</t>
        </is>
      </c>
      <c r="C70" s="27" t="inlineStr">
        <is>
          <t>Quyền sử dụng &amp; liệu trình</t>
        </is>
      </c>
      <c r="D70" s="27" t="inlineStr">
        <is>
          <t>Chi tiết dịch vụ đã mua</t>
        </is>
      </c>
      <c r="E70" s="26" t="inlineStr">
        <is>
          <t>GET</t>
        </is>
      </c>
      <c r="F70" s="27" t="inlineStr">
        <is>
          <t>/api/v1/me/purchases/services/{id}</t>
        </is>
      </c>
      <c r="G70" s="26" t="inlineStr">
        <is>
          <t>Query</t>
        </is>
      </c>
      <c r="H70" s="27" t="inlineStr">
        <is>
          <t>UC-SPA-18</t>
        </is>
      </c>
      <c r="I70" s="27" t="inlineStr">
        <is>
          <t>SCR-W16, SCR-M14</t>
        </is>
      </c>
      <c r="J70" s="27" t="inlineStr">
        <is>
          <t>CUS</t>
        </is>
      </c>
      <c r="K70" s="27" t="inlineStr">
        <is>
          <t>—</t>
        </is>
      </c>
      <c r="L70" s="27" t="inlineStr">
        <is>
          <t>DichVuKhachHangDto{…, donHangNguon}</t>
        </is>
      </c>
      <c r="M70" s="26" t="inlineStr">
        <is>
          <t>200</t>
        </is>
      </c>
      <c r="N70" s="27" t="inlineStr">
        <is>
          <t>A3 xem đơn nguồn</t>
        </is>
      </c>
      <c r="O70" s="26" t="inlineStr">
        <is>
          <t>Đề xuất</t>
        </is>
      </c>
    </row>
    <row r="71">
      <c r="A71" s="24" t="inlineStr">
        <is>
          <t>SPA-API-067</t>
        </is>
      </c>
      <c r="B71" s="24" t="inlineStr">
        <is>
          <t>TRT</t>
        </is>
      </c>
      <c r="C71" s="25" t="inlineStr">
        <is>
          <t>Quyền sử dụng &amp; liệu trình</t>
        </is>
      </c>
      <c r="D71" s="25" t="inlineStr">
        <is>
          <t>Chi tiết gói đã mua</t>
        </is>
      </c>
      <c r="E71" s="24" t="inlineStr">
        <is>
          <t>GET</t>
        </is>
      </c>
      <c r="F71" s="25" t="inlineStr">
        <is>
          <t>/api/v1/me/purchases/packages/{id}</t>
        </is>
      </c>
      <c r="G71" s="24" t="inlineStr">
        <is>
          <t>Query</t>
        </is>
      </c>
      <c r="H71" s="25" t="inlineStr">
        <is>
          <t>UC-SPA-18</t>
        </is>
      </c>
      <c r="I71" s="25" t="inlineStr">
        <is>
          <t>SCR-W16, SCR-M14</t>
        </is>
      </c>
      <c r="J71" s="25" t="inlineStr">
        <is>
          <t>CUS</t>
        </is>
      </c>
      <c r="K71" s="25" t="inlineStr">
        <is>
          <t>—</t>
        </is>
      </c>
      <c r="L71" s="25" t="inlineStr">
        <is>
          <t>GoiKhachHangDto{tongSoBuoi, soBuoiDaDung, ngayHetHan, idLieuTrinh, donHangNguon}</t>
        </is>
      </c>
      <c r="M71" s="24" t="inlineStr">
        <is>
          <t>200</t>
        </is>
      </c>
      <c r="N71" s="25" t="inlineStr"/>
      <c r="O71" s="24" t="inlineStr">
        <is>
          <t>Đề xuất</t>
        </is>
      </c>
    </row>
    <row r="72">
      <c r="A72" s="26" t="inlineStr">
        <is>
          <t>SPA-API-068</t>
        </is>
      </c>
      <c r="B72" s="26" t="inlineStr">
        <is>
          <t>TRT</t>
        </is>
      </c>
      <c r="C72" s="27" t="inlineStr">
        <is>
          <t>Quyền sử dụng &amp; liệu trình</t>
        </is>
      </c>
      <c r="D72" s="27" t="inlineStr">
        <is>
          <t>Liệu trình của tôi</t>
        </is>
      </c>
      <c r="E72" s="26" t="inlineStr">
        <is>
          <t>GET</t>
        </is>
      </c>
      <c r="F72" s="27" t="inlineStr">
        <is>
          <t>/api/v1/me/treatments</t>
        </is>
      </c>
      <c r="G72" s="26" t="inlineStr">
        <is>
          <t>Query</t>
        </is>
      </c>
      <c r="H72" s="27" t="inlineStr">
        <is>
          <t>UC-SPA-19</t>
        </is>
      </c>
      <c r="I72" s="27" t="inlineStr">
        <is>
          <t>SCR-W17, SCR-M13</t>
        </is>
      </c>
      <c r="J72" s="27" t="inlineStr">
        <is>
          <t>CUS</t>
        </is>
      </c>
      <c r="K72" s="27" t="inlineStr">
        <is>
          <t>?trangThai</t>
        </is>
      </c>
      <c r="L72" s="27" t="inlineStr">
        <is>
          <t>LieuTrinhListItemDto[]</t>
        </is>
      </c>
      <c r="M72" s="26" t="inlineStr">
        <is>
          <t>200</t>
        </is>
      </c>
      <c r="N72" s="27" t="inlineStr"/>
      <c r="O72" s="26" t="inlineStr">
        <is>
          <t>Đề xuất</t>
        </is>
      </c>
    </row>
    <row r="73">
      <c r="A73" s="24" t="inlineStr">
        <is>
          <t>SPA-API-069</t>
        </is>
      </c>
      <c r="B73" s="24" t="inlineStr">
        <is>
          <t>TRT</t>
        </is>
      </c>
      <c r="C73" s="25" t="inlineStr">
        <is>
          <t>Quyền sử dụng &amp; liệu trình</t>
        </is>
      </c>
      <c r="D73" s="25" t="inlineStr">
        <is>
          <t>Chi tiết liệu trình của tôi</t>
        </is>
      </c>
      <c r="E73" s="24" t="inlineStr">
        <is>
          <t>GET</t>
        </is>
      </c>
      <c r="F73" s="25" t="inlineStr">
        <is>
          <t>/api/v1/me/treatments/{id}</t>
        </is>
      </c>
      <c r="G73" s="24" t="inlineStr">
        <is>
          <t>Query</t>
        </is>
      </c>
      <c r="H73" s="25" t="inlineStr">
        <is>
          <t>UC-SPA-19</t>
        </is>
      </c>
      <c r="I73" s="25" t="inlineStr">
        <is>
          <t>SCR-W17, SCR-M13</t>
        </is>
      </c>
      <c r="J73" s="25" t="inlineStr">
        <is>
          <t>CUS</t>
        </is>
      </c>
      <c r="K73" s="25" t="inlineStr">
        <is>
          <t>—</t>
        </is>
      </c>
      <c r="L73" s="25" t="inlineStr">
        <is>
          <t>LieuTrinhDetailDto{mucTieu, tienDo, buoi[{id, thuTu, tenDichVu, trangThai, lichHen?, coTheDatLich, lyDoChuaDuocDat?}]}</t>
        </is>
      </c>
      <c r="M73" s="24" t="inlineStr">
        <is>
          <t>200</t>
        </is>
      </c>
      <c r="N73" s="25" t="inlineStr">
        <is>
          <t>A1/A2: coTheDatLich</t>
        </is>
      </c>
      <c r="O73" s="24" t="inlineStr">
        <is>
          <t>Đề xuất</t>
        </is>
      </c>
    </row>
    <row r="74">
      <c r="A74" s="26" t="inlineStr">
        <is>
          <t>SPA-API-070</t>
        </is>
      </c>
      <c r="B74" s="26" t="inlineStr">
        <is>
          <t>TRT</t>
        </is>
      </c>
      <c r="C74" s="27" t="inlineStr">
        <is>
          <t>Quyền sử dụng &amp; liệu trình</t>
        </is>
      </c>
      <c r="D74" s="27" t="inlineStr">
        <is>
          <t>Chi tiết buổi chăm sóc của tôi</t>
        </is>
      </c>
      <c r="E74" s="26" t="inlineStr">
        <is>
          <t>GET</t>
        </is>
      </c>
      <c r="F74" s="27" t="inlineStr">
        <is>
          <t>/api/v1/me/treatments/{id}/sessions/{sessionId}</t>
        </is>
      </c>
      <c r="G74" s="26" t="inlineStr">
        <is>
          <t>Query</t>
        </is>
      </c>
      <c r="H74" s="27" t="inlineStr">
        <is>
          <t>UC-SPA-19</t>
        </is>
      </c>
      <c r="I74" s="27" t="inlineStr">
        <is>
          <t>SCR-W17, SCR-M13</t>
        </is>
      </c>
      <c r="J74" s="27" t="inlineStr">
        <is>
          <t>CUS</t>
        </is>
      </c>
      <c r="K74" s="27" t="inlineStr">
        <is>
          <t>—</t>
        </is>
      </c>
      <c r="L74" s="27" t="inlineStr">
        <is>
          <t>BuoiChamSocDto</t>
        </is>
      </c>
      <c r="M74" s="26" t="inlineStr">
        <is>
          <t>200</t>
        </is>
      </c>
      <c r="N74" s="27" t="inlineStr"/>
      <c r="O74" s="26" t="inlineStr">
        <is>
          <t>Đề xuất</t>
        </is>
      </c>
    </row>
    <row r="75">
      <c r="A75" s="24" t="inlineStr">
        <is>
          <t>SPA-API-071</t>
        </is>
      </c>
      <c r="B75" s="24" t="inlineStr">
        <is>
          <t>TRT</t>
        </is>
      </c>
      <c r="C75" s="25" t="inlineStr">
        <is>
          <t>Quyền sử dụng &amp; liệu trình</t>
        </is>
      </c>
      <c r="D75" s="25" t="inlineStr">
        <is>
          <t>Lịch sử sử dụng dịch vụ</t>
        </is>
      </c>
      <c r="E75" s="24" t="inlineStr">
        <is>
          <t>GET</t>
        </is>
      </c>
      <c r="F75" s="25" t="inlineStr">
        <is>
          <t>/api/v1/me/service-history</t>
        </is>
      </c>
      <c r="G75" s="24" t="inlineStr">
        <is>
          <t>Query</t>
        </is>
      </c>
      <c r="H75" s="25" t="inlineStr">
        <is>
          <t>UC-SPA-20</t>
        </is>
      </c>
      <c r="I75" s="25" t="inlineStr">
        <is>
          <t>SCR-W18, SCR-M21</t>
        </is>
      </c>
      <c r="J75" s="25" t="inlineStr">
        <is>
          <t>CUS</t>
        </is>
      </c>
      <c r="K75" s="25" t="inlineStr">
        <is>
          <t>?tuNgay&amp;denNgay&amp;idDichVu&amp;page&amp;pageSize</t>
        </is>
      </c>
      <c r="L75" s="25" t="inlineStr">
        <is>
          <t>PagedResult&lt;LichSuSuDungDto&gt;</t>
        </is>
      </c>
      <c r="M75" s="24" t="inlineStr">
        <is>
          <t>200</t>
        </is>
      </c>
      <c r="N75" s="25" t="inlineStr">
        <is>
          <t>Lịch hẹn HoanThanh</t>
        </is>
      </c>
      <c r="O75" s="24" t="inlineStr">
        <is>
          <t>Đề xuất</t>
        </is>
      </c>
    </row>
    <row r="76">
      <c r="A76" s="26" t="inlineStr">
        <is>
          <t>SPA-API-072</t>
        </is>
      </c>
      <c r="B76" s="26" t="inlineStr">
        <is>
          <t>TRT</t>
        </is>
      </c>
      <c r="C76" s="27" t="inlineStr">
        <is>
          <t>Quyền sử dụng &amp; liệu trình</t>
        </is>
      </c>
      <c r="D76" s="27" t="inlineStr">
        <is>
          <t>Chi tiết một lần sử dụng</t>
        </is>
      </c>
      <c r="E76" s="26" t="inlineStr">
        <is>
          <t>GET</t>
        </is>
      </c>
      <c r="F76" s="27" t="inlineStr">
        <is>
          <t>/api/v1/me/service-history/{idLichHen}</t>
        </is>
      </c>
      <c r="G76" s="26" t="inlineStr">
        <is>
          <t>Query</t>
        </is>
      </c>
      <c r="H76" s="27" t="inlineStr">
        <is>
          <t>UC-SPA-20</t>
        </is>
      </c>
      <c r="I76" s="27" t="inlineStr">
        <is>
          <t>SCR-W18, SCR-M21</t>
        </is>
      </c>
      <c r="J76" s="27" t="inlineStr">
        <is>
          <t>CUS</t>
        </is>
      </c>
      <c r="K76" s="27" t="inlineStr">
        <is>
          <t>—</t>
        </is>
      </c>
      <c r="L76" s="27" t="inlineStr">
        <is>
          <t>LichSuSuDungDetailDto{nhanVien, ketQua}</t>
        </is>
      </c>
      <c r="M76" s="26" t="inlineStr">
        <is>
          <t>200</t>
        </is>
      </c>
      <c r="N76" s="27" t="inlineStr"/>
      <c r="O76" s="26" t="inlineStr">
        <is>
          <t>Đề xuất</t>
        </is>
      </c>
    </row>
    <row r="77">
      <c r="A77" s="24" t="inlineStr">
        <is>
          <t>SPA-API-073</t>
        </is>
      </c>
      <c r="B77" s="24" t="inlineStr">
        <is>
          <t>TRT</t>
        </is>
      </c>
      <c r="C77" s="25" t="inlineStr">
        <is>
          <t>Quyền sử dụng &amp; liệu trình</t>
        </is>
      </c>
      <c r="D77" s="25" t="inlineStr">
        <is>
          <t>Danh sách liệu trình (quản lý)</t>
        </is>
      </c>
      <c r="E77" s="24" t="inlineStr">
        <is>
          <t>GET</t>
        </is>
      </c>
      <c r="F77" s="25" t="inlineStr">
        <is>
          <t>/api/v1/treatments</t>
        </is>
      </c>
      <c r="G77" s="24" t="inlineStr">
        <is>
          <t>Query</t>
        </is>
      </c>
      <c r="H77" s="25" t="inlineStr">
        <is>
          <t>UC-SPA-21</t>
        </is>
      </c>
      <c r="I77" s="25" t="inlineStr">
        <is>
          <t>SCR-W29, SCR-W36</t>
        </is>
      </c>
      <c r="J77" s="25" t="inlineStr">
        <is>
          <t>OWN, STF (phụ trách)</t>
        </is>
      </c>
      <c r="K77" s="25" t="inlineStr">
        <is>
          <t>?idKhachHang&amp;trangThai&amp;idNhanVienPhuTrach&amp;page&amp;pageSize</t>
        </is>
      </c>
      <c r="L77" s="25" t="inlineStr">
        <is>
          <t>PagedResult&lt;LieuTrinhListItemDto&gt;</t>
        </is>
      </c>
      <c r="M77" s="24" t="inlineStr">
        <is>
          <t>200</t>
        </is>
      </c>
      <c r="N77" s="25" t="inlineStr"/>
      <c r="O77" s="24" t="inlineStr">
        <is>
          <t>Đề xuất</t>
        </is>
      </c>
    </row>
    <row r="78">
      <c r="A78" s="26" t="inlineStr">
        <is>
          <t>SPA-API-074</t>
        </is>
      </c>
      <c r="B78" s="26" t="inlineStr">
        <is>
          <t>TRT</t>
        </is>
      </c>
      <c r="C78" s="27" t="inlineStr">
        <is>
          <t>Quyền sử dụng &amp; liệu trình</t>
        </is>
      </c>
      <c r="D78" s="27" t="inlineStr">
        <is>
          <t>Chi tiết liệu trình (quản lý)</t>
        </is>
      </c>
      <c r="E78" s="26" t="inlineStr">
        <is>
          <t>GET</t>
        </is>
      </c>
      <c r="F78" s="27" t="inlineStr">
        <is>
          <t>/api/v1/treatments/{id}</t>
        </is>
      </c>
      <c r="G78" s="26" t="inlineStr">
        <is>
          <t>Query</t>
        </is>
      </c>
      <c r="H78" s="27" t="inlineStr">
        <is>
          <t>UC-SPA-21</t>
        </is>
      </c>
      <c r="I78" s="27" t="inlineStr">
        <is>
          <t>SCR-W29, SCR-W36</t>
        </is>
      </c>
      <c r="J78" s="27" t="inlineStr">
        <is>
          <t>OWN, STF (phụ trách)</t>
        </is>
      </c>
      <c r="K78" s="27" t="inlineStr">
        <is>
          <t>—</t>
        </is>
      </c>
      <c r="L78" s="27" t="inlineStr">
        <is>
          <t>LieuTrinhDetailDto + hoSoDa[] + lichSuChamSoc[]</t>
        </is>
      </c>
      <c r="M78" s="26" t="inlineStr">
        <is>
          <t>200</t>
        </is>
      </c>
      <c r="N78" s="27" t="inlineStr"/>
      <c r="O78" s="26" t="inlineStr">
        <is>
          <t>Đề xuất</t>
        </is>
      </c>
    </row>
    <row r="79">
      <c r="A79" s="24" t="inlineStr">
        <is>
          <t>SPA-API-075</t>
        </is>
      </c>
      <c r="B79" s="24" t="inlineStr">
        <is>
          <t>TRT</t>
        </is>
      </c>
      <c r="C79" s="25" t="inlineStr">
        <is>
          <t>Quyền sử dụng &amp; liệu trình</t>
        </is>
      </c>
      <c r="D79" s="25" t="inlineStr">
        <is>
          <t>Cập nhật liệu trình</t>
        </is>
      </c>
      <c r="E79" s="24" t="inlineStr">
        <is>
          <t>PUT</t>
        </is>
      </c>
      <c r="F79" s="25" t="inlineStr">
        <is>
          <t>/api/v1/treatments/{id}</t>
        </is>
      </c>
      <c r="G79" s="24" t="inlineStr">
        <is>
          <t>Command</t>
        </is>
      </c>
      <c r="H79" s="25" t="inlineStr">
        <is>
          <t>UC-SPA-21</t>
        </is>
      </c>
      <c r="I79" s="25" t="inlineStr">
        <is>
          <t>SCR-W29, SCR-W36</t>
        </is>
      </c>
      <c r="J79" s="25" t="inlineStr">
        <is>
          <t>OWN, STF (phụ trách)</t>
        </is>
      </c>
      <c r="K79" s="25" t="inlineStr">
        <is>
          <t>{mucTieu, idNhanVienPhuTrach (OWN), ngayBatDau, ngayKetThucDuKien, ghiChu, trangThai (OWN)}</t>
        </is>
      </c>
      <c r="L79" s="25" t="inlineStr">
        <is>
          <t>LieuTrinhDetailDto</t>
        </is>
      </c>
      <c r="M79" s="24" t="inlineStr">
        <is>
          <t>200</t>
        </is>
      </c>
      <c r="N79" s="25" t="inlineStr"/>
      <c r="O79" s="24" t="inlineStr">
        <is>
          <t>Đề xuất</t>
        </is>
      </c>
    </row>
    <row r="80">
      <c r="A80" s="26" t="inlineStr">
        <is>
          <t>SPA-API-076</t>
        </is>
      </c>
      <c r="B80" s="26" t="inlineStr">
        <is>
          <t>TRT</t>
        </is>
      </c>
      <c r="C80" s="27" t="inlineStr">
        <is>
          <t>Quyền sử dụng &amp; liệu trình</t>
        </is>
      </c>
      <c r="D80" s="27" t="inlineStr">
        <is>
          <t>Cập nhật ghi chú buổi</t>
        </is>
      </c>
      <c r="E80" s="26" t="inlineStr">
        <is>
          <t>PUT</t>
        </is>
      </c>
      <c r="F80" s="27" t="inlineStr">
        <is>
          <t>/api/v1/treatments/{id}/sessions/{sessionId}</t>
        </is>
      </c>
      <c r="G80" s="26" t="inlineStr">
        <is>
          <t>Command</t>
        </is>
      </c>
      <c r="H80" s="27" t="inlineStr">
        <is>
          <t>UC-SPA-21</t>
        </is>
      </c>
      <c r="I80" s="27" t="inlineStr">
        <is>
          <t>SCR-W29, SCR-W36</t>
        </is>
      </c>
      <c r="J80" s="27" t="inlineStr">
        <is>
          <t>OWN, STF (phụ trách)</t>
        </is>
      </c>
      <c r="K80" s="27" t="inlineStr">
        <is>
          <t>{ghiChu}</t>
        </is>
      </c>
      <c r="L80" s="27" t="inlineStr">
        <is>
          <t>BuoiChamSocDto</t>
        </is>
      </c>
      <c r="M80" s="26" t="inlineStr">
        <is>
          <t>200</t>
        </is>
      </c>
      <c r="N80" s="27" t="inlineStr">
        <is>
          <t>Không sửa buổi đã hoàn thành (trừ chủ spa)</t>
        </is>
      </c>
      <c r="O80" s="26" t="inlineStr">
        <is>
          <t>Đề xuất</t>
        </is>
      </c>
    </row>
    <row r="81">
      <c r="A81" s="24" t="inlineStr">
        <is>
          <t>SPA-API-077</t>
        </is>
      </c>
      <c r="B81" s="24" t="inlineStr">
        <is>
          <t>TRT</t>
        </is>
      </c>
      <c r="C81" s="25" t="inlineStr">
        <is>
          <t>Quyền sử dụng &amp; liệu trình</t>
        </is>
      </c>
      <c r="D81" s="25" t="inlineStr">
        <is>
          <t>Lịch sử chăm sóc của một khách</t>
        </is>
      </c>
      <c r="E81" s="24" t="inlineStr">
        <is>
          <t>GET</t>
        </is>
      </c>
      <c r="F81" s="25" t="inlineStr">
        <is>
          <t>/api/v1/customers/{id}/care-history</t>
        </is>
      </c>
      <c r="G81" s="24" t="inlineStr">
        <is>
          <t>Query</t>
        </is>
      </c>
      <c r="H81" s="25" t="inlineStr">
        <is>
          <t>UC-SPA-21, UC-SPA-26</t>
        </is>
      </c>
      <c r="I81" s="25" t="inlineStr">
        <is>
          <t>SCR-W28, SCR-W36</t>
        </is>
      </c>
      <c r="J81" s="25" t="inlineStr">
        <is>
          <t>OWN, STF (đã/đang chăm sóc khách)</t>
        </is>
      </c>
      <c r="K81" s="25" t="inlineStr">
        <is>
          <t>?page&amp;pageSize</t>
        </is>
      </c>
      <c r="L81" s="25" t="inlineStr">
        <is>
          <t>PagedResult&lt;LanChamSocDto{lichHen, nhanVien, hoSoDa?}&gt;</t>
        </is>
      </c>
      <c r="M81" s="24" t="inlineStr">
        <is>
          <t>200</t>
        </is>
      </c>
      <c r="N81" s="25" t="inlineStr"/>
      <c r="O81" s="24" t="inlineStr">
        <is>
          <t>Đề xuất</t>
        </is>
      </c>
    </row>
    <row r="82">
      <c r="A82" s="26" t="inlineStr">
        <is>
          <t>SPA-API-078</t>
        </is>
      </c>
      <c r="B82" s="26" t="inlineStr">
        <is>
          <t>STF</t>
        </is>
      </c>
      <c r="C82" s="27" t="inlineStr">
        <is>
          <t>Nhân viên &amp; lịch làm việc</t>
        </is>
      </c>
      <c r="D82" s="27" t="inlineStr">
        <is>
          <t>Danh sách nhân viên</t>
        </is>
      </c>
      <c r="E82" s="26" t="inlineStr">
        <is>
          <t>GET</t>
        </is>
      </c>
      <c r="F82" s="27" t="inlineStr">
        <is>
          <t>/api/v1/staff</t>
        </is>
      </c>
      <c r="G82" s="26" t="inlineStr">
        <is>
          <t>Query</t>
        </is>
      </c>
      <c r="H82" s="27" t="inlineStr">
        <is>
          <t>UC-SPA-22, UC-SPA-15</t>
        </is>
      </c>
      <c r="I82" s="27" t="inlineStr">
        <is>
          <t>SCR-W33, SCR-W13, SCR-M18, SCR-M30</t>
        </is>
      </c>
      <c r="J82" s="27" t="inlineStr">
        <is>
          <t>ALL (khách: tên, chuyên môn)</t>
        </is>
      </c>
      <c r="K82" s="27" t="inlineStr">
        <is>
          <t>?q&amp;trangThai&amp;idDichVu&amp;page&amp;pageSize</t>
        </is>
      </c>
      <c r="L82" s="27" t="inlineStr">
        <is>
          <t>PagedResult&lt;NhanVienListItemDto&gt;</t>
        </is>
      </c>
      <c r="M82" s="26" t="inlineStr">
        <is>
          <t>200</t>
        </is>
      </c>
      <c r="N82" s="27" t="inlineStr"/>
      <c r="O82" s="26" t="inlineStr">
        <is>
          <t>Đề xuất</t>
        </is>
      </c>
    </row>
    <row r="83">
      <c r="A83" s="24" t="inlineStr">
        <is>
          <t>SPA-API-079</t>
        </is>
      </c>
      <c r="B83" s="24" t="inlineStr">
        <is>
          <t>STF</t>
        </is>
      </c>
      <c r="C83" s="25" t="inlineStr">
        <is>
          <t>Nhân viên &amp; lịch làm việc</t>
        </is>
      </c>
      <c r="D83" s="25" t="inlineStr">
        <is>
          <t>Chi tiết nhân viên</t>
        </is>
      </c>
      <c r="E83" s="24" t="inlineStr">
        <is>
          <t>GET</t>
        </is>
      </c>
      <c r="F83" s="25" t="inlineStr">
        <is>
          <t>/api/v1/staff/{id}</t>
        </is>
      </c>
      <c r="G83" s="24" t="inlineStr">
        <is>
          <t>Query</t>
        </is>
      </c>
      <c r="H83" s="25" t="inlineStr">
        <is>
          <t>UC-SPA-22</t>
        </is>
      </c>
      <c r="I83" s="25" t="inlineStr">
        <is>
          <t>SCR-W33</t>
        </is>
      </c>
      <c r="J83" s="25" t="inlineStr">
        <is>
          <t>OWN</t>
        </is>
      </c>
      <c r="K83" s="25" t="inlineStr">
        <is>
          <t>—</t>
        </is>
      </c>
      <c r="L83" s="25" t="inlineStr">
        <is>
          <t>NhanVienDetailDto{…, dichVu[]}</t>
        </is>
      </c>
      <c r="M83" s="24" t="inlineStr">
        <is>
          <t>200</t>
        </is>
      </c>
      <c r="N83" s="25" t="inlineStr"/>
      <c r="O83" s="24" t="inlineStr">
        <is>
          <t>Đề xuất</t>
        </is>
      </c>
    </row>
    <row r="84">
      <c r="A84" s="26" t="inlineStr">
        <is>
          <t>SPA-API-080</t>
        </is>
      </c>
      <c r="B84" s="26" t="inlineStr">
        <is>
          <t>STF</t>
        </is>
      </c>
      <c r="C84" s="27" t="inlineStr">
        <is>
          <t>Nhân viên &amp; lịch làm việc</t>
        </is>
      </c>
      <c r="D84" s="27" t="inlineStr">
        <is>
          <t>Thêm nhân viên</t>
        </is>
      </c>
      <c r="E84" s="26" t="inlineStr">
        <is>
          <t>POST</t>
        </is>
      </c>
      <c r="F84" s="27" t="inlineStr">
        <is>
          <t>/api/v1/staff</t>
        </is>
      </c>
      <c r="G84" s="26" t="inlineStr">
        <is>
          <t>Command</t>
        </is>
      </c>
      <c r="H84" s="27" t="inlineStr">
        <is>
          <t>UC-SPA-22</t>
        </is>
      </c>
      <c r="I84" s="27" t="inlineStr">
        <is>
          <t>SCR-W33</t>
        </is>
      </c>
      <c r="J84" s="27" t="inlineStr">
        <is>
          <t>OWN</t>
        </is>
      </c>
      <c r="K84" s="27" t="inlineStr">
        <is>
          <t>{hoTen, email, sdt, ngayVaoLam, chuyenMon, idDichVu[]}</t>
        </is>
      </c>
      <c r="L84" s="27" t="inlineStr">
        <is>
          <t>NhanVienDetailDto + matKhauTam</t>
        </is>
      </c>
      <c r="M84" s="26" t="inlineStr">
        <is>
          <t>201</t>
        </is>
      </c>
      <c r="N84" s="27" t="inlineStr">
        <is>
          <t>Tạo NguoiDung(NhanVien) + NhanVien + NhanVien_DichVu</t>
        </is>
      </c>
      <c r="O84" s="26" t="inlineStr">
        <is>
          <t>Đề xuất</t>
        </is>
      </c>
    </row>
    <row r="85">
      <c r="A85" s="24" t="inlineStr">
        <is>
          <t>SPA-API-081</t>
        </is>
      </c>
      <c r="B85" s="24" t="inlineStr">
        <is>
          <t>STF</t>
        </is>
      </c>
      <c r="C85" s="25" t="inlineStr">
        <is>
          <t>Nhân viên &amp; lịch làm việc</t>
        </is>
      </c>
      <c r="D85" s="25" t="inlineStr">
        <is>
          <t>Sửa nhân viên</t>
        </is>
      </c>
      <c r="E85" s="24" t="inlineStr">
        <is>
          <t>PUT</t>
        </is>
      </c>
      <c r="F85" s="25" t="inlineStr">
        <is>
          <t>/api/v1/staff/{id}</t>
        </is>
      </c>
      <c r="G85" s="24" t="inlineStr">
        <is>
          <t>Command</t>
        </is>
      </c>
      <c r="H85" s="25" t="inlineStr">
        <is>
          <t>UC-SPA-22</t>
        </is>
      </c>
      <c r="I85" s="25" t="inlineStr">
        <is>
          <t>SCR-W33</t>
        </is>
      </c>
      <c r="J85" s="25" t="inlineStr">
        <is>
          <t>OWN</t>
        </is>
      </c>
      <c r="K85" s="25" t="inlineStr">
        <is>
          <t>{hoTen, sdt, chuyenMon}</t>
        </is>
      </c>
      <c r="L85" s="25" t="inlineStr">
        <is>
          <t>NhanVienDetailDto</t>
        </is>
      </c>
      <c r="M85" s="24" t="inlineStr">
        <is>
          <t>200</t>
        </is>
      </c>
      <c r="N85" s="25" t="inlineStr"/>
      <c r="O85" s="24" t="inlineStr">
        <is>
          <t>Đề xuất</t>
        </is>
      </c>
    </row>
    <row r="86">
      <c r="A86" s="26" t="inlineStr">
        <is>
          <t>SPA-API-082</t>
        </is>
      </c>
      <c r="B86" s="26" t="inlineStr">
        <is>
          <t>STF</t>
        </is>
      </c>
      <c r="C86" s="27" t="inlineStr">
        <is>
          <t>Nhân viên &amp; lịch làm việc</t>
        </is>
      </c>
      <c r="D86" s="27" t="inlineStr">
        <is>
          <t>Ghi nhận nghỉ việc</t>
        </is>
      </c>
      <c r="E86" s="26" t="inlineStr">
        <is>
          <t>POST</t>
        </is>
      </c>
      <c r="F86" s="27" t="inlineStr">
        <is>
          <t>/api/v1/staff/{id}/resign</t>
        </is>
      </c>
      <c r="G86" s="26" t="inlineStr">
        <is>
          <t>Command</t>
        </is>
      </c>
      <c r="H86" s="27" t="inlineStr">
        <is>
          <t>UC-SPA-22</t>
        </is>
      </c>
      <c r="I86" s="27" t="inlineStr">
        <is>
          <t>SCR-W33</t>
        </is>
      </c>
      <c r="J86" s="27" t="inlineStr">
        <is>
          <t>OWN</t>
        </is>
      </c>
      <c r="K86" s="27" t="inlineStr">
        <is>
          <t>{ngayNghiViec}</t>
        </is>
      </c>
      <c r="L86" s="27" t="inlineStr">
        <is>
          <t>NhanVienDetailDto + lichHenCanPhanCongLai[]</t>
        </is>
      </c>
      <c r="M86" s="26" t="inlineStr">
        <is>
          <t>200</t>
        </is>
      </c>
      <c r="N86" s="27" t="inlineStr">
        <is>
          <t>NgayNghiViec ≥ NgayVaoLam</t>
        </is>
      </c>
      <c r="O86" s="26" t="inlineStr">
        <is>
          <t>Đề xuất</t>
        </is>
      </c>
    </row>
    <row r="87">
      <c r="A87" s="24" t="inlineStr">
        <is>
          <t>SPA-API-083</t>
        </is>
      </c>
      <c r="B87" s="24" t="inlineStr">
        <is>
          <t>STF</t>
        </is>
      </c>
      <c r="C87" s="25" t="inlineStr">
        <is>
          <t>Nhân viên &amp; lịch làm việc</t>
        </is>
      </c>
      <c r="D87" s="25" t="inlineStr">
        <is>
          <t>Cập nhật dịch vụ nhân viên thực hiện</t>
        </is>
      </c>
      <c r="E87" s="24" t="inlineStr">
        <is>
          <t>PUT</t>
        </is>
      </c>
      <c r="F87" s="25" t="inlineStr">
        <is>
          <t>/api/v1/staff/{id}/services</t>
        </is>
      </c>
      <c r="G87" s="24" t="inlineStr">
        <is>
          <t>Command</t>
        </is>
      </c>
      <c r="H87" s="25" t="inlineStr">
        <is>
          <t>UC-SPA-22</t>
        </is>
      </c>
      <c r="I87" s="25" t="inlineStr">
        <is>
          <t>SCR-W33</t>
        </is>
      </c>
      <c r="J87" s="25" t="inlineStr">
        <is>
          <t>OWN</t>
        </is>
      </c>
      <c r="K87" s="25" t="inlineStr">
        <is>
          <t>{idDichVu[]}</t>
        </is>
      </c>
      <c r="L87" s="25" t="inlineStr">
        <is>
          <t>—</t>
        </is>
      </c>
      <c r="M87" s="24" t="inlineStr">
        <is>
          <t>204</t>
        </is>
      </c>
      <c r="N87" s="25" t="inlineStr"/>
      <c r="O87" s="24" t="inlineStr">
        <is>
          <t>Đề xuất</t>
        </is>
      </c>
    </row>
    <row r="88">
      <c r="A88" s="26" t="inlineStr">
        <is>
          <t>SPA-API-084</t>
        </is>
      </c>
      <c r="B88" s="26" t="inlineStr">
        <is>
          <t>STF</t>
        </is>
      </c>
      <c r="C88" s="27" t="inlineStr">
        <is>
          <t>Nhân viên &amp; lịch làm việc</t>
        </is>
      </c>
      <c r="D88" s="27" t="inlineStr">
        <is>
          <t>Lịch làm việc (chủ spa)</t>
        </is>
      </c>
      <c r="E88" s="26" t="inlineStr">
        <is>
          <t>GET</t>
        </is>
      </c>
      <c r="F88" s="27" t="inlineStr">
        <is>
          <t>/api/v1/work-schedules</t>
        </is>
      </c>
      <c r="G88" s="26" t="inlineStr">
        <is>
          <t>Query</t>
        </is>
      </c>
      <c r="H88" s="27" t="inlineStr">
        <is>
          <t>UC-SPA-23</t>
        </is>
      </c>
      <c r="I88" s="27" t="inlineStr">
        <is>
          <t>SCR-W33, SCR-M30</t>
        </is>
      </c>
      <c r="J88" s="27" t="inlineStr">
        <is>
          <t>OWN</t>
        </is>
      </c>
      <c r="K88" s="27" t="inlineStr">
        <is>
          <t>?idNhanVien&amp;tuNgay&amp;denNgay</t>
        </is>
      </c>
      <c r="L88" s="27" t="inlineStr">
        <is>
          <t>LichLamViecDto[]</t>
        </is>
      </c>
      <c r="M88" s="26" t="inlineStr">
        <is>
          <t>200</t>
        </is>
      </c>
      <c r="N88" s="27" t="inlineStr"/>
      <c r="O88" s="26" t="inlineStr">
        <is>
          <t>Đề xuất</t>
        </is>
      </c>
    </row>
    <row r="89">
      <c r="A89" s="24" t="inlineStr">
        <is>
          <t>SPA-API-085</t>
        </is>
      </c>
      <c r="B89" s="24" t="inlineStr">
        <is>
          <t>STF</t>
        </is>
      </c>
      <c r="C89" s="25" t="inlineStr">
        <is>
          <t>Nhân viên &amp; lịch làm việc</t>
        </is>
      </c>
      <c r="D89" s="25" t="inlineStr">
        <is>
          <t>Thêm ca làm</t>
        </is>
      </c>
      <c r="E89" s="24" t="inlineStr">
        <is>
          <t>POST</t>
        </is>
      </c>
      <c r="F89" s="25" t="inlineStr">
        <is>
          <t>/api/v1/work-schedules</t>
        </is>
      </c>
      <c r="G89" s="24" t="inlineStr">
        <is>
          <t>Command</t>
        </is>
      </c>
      <c r="H89" s="25" t="inlineStr">
        <is>
          <t>UC-SPA-23</t>
        </is>
      </c>
      <c r="I89" s="25" t="inlineStr">
        <is>
          <t>SCR-W33</t>
        </is>
      </c>
      <c r="J89" s="25" t="inlineStr">
        <is>
          <t>OWN</t>
        </is>
      </c>
      <c r="K89" s="25" t="inlineStr">
        <is>
          <t>{idNhanVien, ngay, gioBatDau, gioKetThuc}</t>
        </is>
      </c>
      <c r="L89" s="25" t="inlineStr">
        <is>
          <t>LichLamViecDto</t>
        </is>
      </c>
      <c r="M89" s="24" t="inlineStr">
        <is>
          <t>201</t>
        </is>
      </c>
      <c r="N89" s="25" t="inlineStr">
        <is>
          <t>E1 409 SHIFT_CONFLICT</t>
        </is>
      </c>
      <c r="O89" s="24" t="inlineStr">
        <is>
          <t>Đề xuất</t>
        </is>
      </c>
    </row>
    <row r="90">
      <c r="A90" s="26" t="inlineStr">
        <is>
          <t>SPA-API-086</t>
        </is>
      </c>
      <c r="B90" s="26" t="inlineStr">
        <is>
          <t>STF</t>
        </is>
      </c>
      <c r="C90" s="27" t="inlineStr">
        <is>
          <t>Nhân viên &amp; lịch làm việc</t>
        </is>
      </c>
      <c r="D90" s="27" t="inlineStr">
        <is>
          <t>Sửa ca làm</t>
        </is>
      </c>
      <c r="E90" s="26" t="inlineStr">
        <is>
          <t>PUT</t>
        </is>
      </c>
      <c r="F90" s="27" t="inlineStr">
        <is>
          <t>/api/v1/work-schedules/{id}</t>
        </is>
      </c>
      <c r="G90" s="26" t="inlineStr">
        <is>
          <t>Command</t>
        </is>
      </c>
      <c r="H90" s="27" t="inlineStr">
        <is>
          <t>UC-SPA-23</t>
        </is>
      </c>
      <c r="I90" s="27" t="inlineStr">
        <is>
          <t>SCR-W33</t>
        </is>
      </c>
      <c r="J90" s="27" t="inlineStr">
        <is>
          <t>OWN</t>
        </is>
      </c>
      <c r="K90" s="27" t="inlineStr">
        <is>
          <t>{ngay, gioBatDau, gioKetThuc}</t>
        </is>
      </c>
      <c r="L90" s="27" t="inlineStr">
        <is>
          <t>LichLamViecDto</t>
        </is>
      </c>
      <c r="M90" s="26" t="inlineStr">
        <is>
          <t>200</t>
        </is>
      </c>
      <c r="N90" s="27" t="inlineStr">
        <is>
          <t>409 SHIFT_HAS_APPOINTMENTS</t>
        </is>
      </c>
      <c r="O90" s="26" t="inlineStr">
        <is>
          <t>Đề xuất</t>
        </is>
      </c>
    </row>
    <row r="91">
      <c r="A91" s="24" t="inlineStr">
        <is>
          <t>SPA-API-087</t>
        </is>
      </c>
      <c r="B91" s="24" t="inlineStr">
        <is>
          <t>STF</t>
        </is>
      </c>
      <c r="C91" s="25" t="inlineStr">
        <is>
          <t>Nhân viên &amp; lịch làm việc</t>
        </is>
      </c>
      <c r="D91" s="25" t="inlineStr">
        <is>
          <t>Hủy ca làm</t>
        </is>
      </c>
      <c r="E91" s="24" t="inlineStr">
        <is>
          <t>PATCH</t>
        </is>
      </c>
      <c r="F91" s="25" t="inlineStr">
        <is>
          <t>/api/v1/work-schedules/{id}/status</t>
        </is>
      </c>
      <c r="G91" s="24" t="inlineStr">
        <is>
          <t>Command</t>
        </is>
      </c>
      <c r="H91" s="25" t="inlineStr">
        <is>
          <t>UC-SPA-23</t>
        </is>
      </c>
      <c r="I91" s="25" t="inlineStr">
        <is>
          <t>SCR-W33</t>
        </is>
      </c>
      <c r="J91" s="25" t="inlineStr">
        <is>
          <t>OWN</t>
        </is>
      </c>
      <c r="K91" s="25" t="inlineStr">
        <is>
          <t>{trangThai: DaHuy}</t>
        </is>
      </c>
      <c r="L91" s="25" t="inlineStr">
        <is>
          <t>—</t>
        </is>
      </c>
      <c r="M91" s="24" t="inlineStr">
        <is>
          <t>204</t>
        </is>
      </c>
      <c r="N91" s="25" t="inlineStr">
        <is>
          <t>ĐX; 409 nếu còn lịch hẹn trong ca</t>
        </is>
      </c>
      <c r="O91" s="24" t="inlineStr">
        <is>
          <t>Đề xuất</t>
        </is>
      </c>
    </row>
    <row r="92">
      <c r="A92" s="26" t="inlineStr">
        <is>
          <t>SPA-API-088</t>
        </is>
      </c>
      <c r="B92" s="26" t="inlineStr">
        <is>
          <t>STF</t>
        </is>
      </c>
      <c r="C92" s="27" t="inlineStr">
        <is>
          <t>Nhân viên &amp; lịch làm việc</t>
        </is>
      </c>
      <c r="D92" s="27" t="inlineStr">
        <is>
          <t>Lịch làm việc của tôi</t>
        </is>
      </c>
      <c r="E92" s="26" t="inlineStr">
        <is>
          <t>GET</t>
        </is>
      </c>
      <c r="F92" s="27" t="inlineStr">
        <is>
          <t>/api/v1/me/work-schedules</t>
        </is>
      </c>
      <c r="G92" s="26" t="inlineStr">
        <is>
          <t>Query</t>
        </is>
      </c>
      <c r="H92" s="27" t="inlineStr">
        <is>
          <t>UC-SPA-24</t>
        </is>
      </c>
      <c r="I92" s="27" t="inlineStr">
        <is>
          <t>SCR-W24, SCR-W25, SCR-M23, SCR-M24</t>
        </is>
      </c>
      <c r="J92" s="27" t="inlineStr">
        <is>
          <t>STF</t>
        </is>
      </c>
      <c r="K92" s="27" t="inlineStr">
        <is>
          <t>?tuNgay&amp;denNgay</t>
        </is>
      </c>
      <c r="L92" s="27" t="inlineStr">
        <is>
          <t>LichLamViecDto[]</t>
        </is>
      </c>
      <c r="M92" s="26" t="inlineStr">
        <is>
          <t>200</t>
        </is>
      </c>
      <c r="N92" s="27" t="inlineStr">
        <is>
          <t>A1 rỗng → 'chưa có ca làm'</t>
        </is>
      </c>
      <c r="O92" s="26" t="inlineStr">
        <is>
          <t>Đề xuất</t>
        </is>
      </c>
    </row>
    <row r="93">
      <c r="A93" s="24" t="inlineStr">
        <is>
          <t>SPA-API-089</t>
        </is>
      </c>
      <c r="B93" s="24" t="inlineStr">
        <is>
          <t>STF</t>
        </is>
      </c>
      <c r="C93" s="25" t="inlineStr">
        <is>
          <t>Nhân viên &amp; lịch làm việc</t>
        </is>
      </c>
      <c r="D93" s="25" t="inlineStr">
        <is>
          <t>Chi tiết ca của tôi</t>
        </is>
      </c>
      <c r="E93" s="24" t="inlineStr">
        <is>
          <t>GET</t>
        </is>
      </c>
      <c r="F93" s="25" t="inlineStr">
        <is>
          <t>/api/v1/me/work-schedules/{id}</t>
        </is>
      </c>
      <c r="G93" s="24" t="inlineStr">
        <is>
          <t>Query</t>
        </is>
      </c>
      <c r="H93" s="25" t="inlineStr">
        <is>
          <t>UC-SPA-24</t>
        </is>
      </c>
      <c r="I93" s="25" t="inlineStr">
        <is>
          <t>SCR-W25, SCR-M24</t>
        </is>
      </c>
      <c r="J93" s="25" t="inlineStr">
        <is>
          <t>STF</t>
        </is>
      </c>
      <c r="K93" s="25" t="inlineStr">
        <is>
          <t>—</t>
        </is>
      </c>
      <c r="L93" s="25" t="inlineStr">
        <is>
          <t>LichLamViecDto + lichHenTrongCa[]</t>
        </is>
      </c>
      <c r="M93" s="24" t="inlineStr">
        <is>
          <t>200</t>
        </is>
      </c>
      <c r="N93" s="25" t="inlineStr"/>
      <c r="O93" s="24" t="inlineStr">
        <is>
          <t>Đề xuất</t>
        </is>
      </c>
    </row>
    <row r="94">
      <c r="A94" s="26" t="inlineStr">
        <is>
          <t>SPA-API-090</t>
        </is>
      </c>
      <c r="B94" s="26" t="inlineStr">
        <is>
          <t>STF</t>
        </is>
      </c>
      <c r="C94" s="27" t="inlineStr">
        <is>
          <t>Nhân viên &amp; lịch làm việc</t>
        </is>
      </c>
      <c r="D94" s="27" t="inlineStr">
        <is>
          <t>Lịch hẹn được phân công</t>
        </is>
      </c>
      <c r="E94" s="26" t="inlineStr">
        <is>
          <t>GET</t>
        </is>
      </c>
      <c r="F94" s="27" t="inlineStr">
        <is>
          <t>/api/v1/me/assigned-appointments</t>
        </is>
      </c>
      <c r="G94" s="26" t="inlineStr">
        <is>
          <t>Query</t>
        </is>
      </c>
      <c r="H94" s="27" t="inlineStr">
        <is>
          <t>UC-SPA-25</t>
        </is>
      </c>
      <c r="I94" s="27" t="inlineStr">
        <is>
          <t>SCR-W24, SCR-W26, SCR-M23, SCR-M25</t>
        </is>
      </c>
      <c r="J94" s="27" t="inlineStr">
        <is>
          <t>STF</t>
        </is>
      </c>
      <c r="K94" s="27" t="inlineStr">
        <is>
          <t>?ngay&amp;trangThai</t>
        </is>
      </c>
      <c r="L94" s="27" t="inlineStr">
        <is>
          <t>LichHenListItemDto[]</t>
        </is>
      </c>
      <c r="M94" s="26" t="inlineStr">
        <is>
          <t>200</t>
        </is>
      </c>
      <c r="N94" s="27" t="inlineStr"/>
      <c r="O94" s="26" t="inlineStr">
        <is>
          <t>Đề xuất</t>
        </is>
      </c>
    </row>
    <row r="95">
      <c r="A95" s="24" t="inlineStr">
        <is>
          <t>SPA-API-091</t>
        </is>
      </c>
      <c r="B95" s="24" t="inlineStr">
        <is>
          <t>CARE</t>
        </is>
      </c>
      <c r="C95" s="25" t="inlineStr">
        <is>
          <t>Chăm sóc &amp; hồ sơ da</t>
        </is>
      </c>
      <c r="D95" s="25" t="inlineStr">
        <is>
          <t>Lịch sử khách đã chăm sóc (của tôi)</t>
        </is>
      </c>
      <c r="E95" s="24" t="inlineStr">
        <is>
          <t>GET</t>
        </is>
      </c>
      <c r="F95" s="25" t="inlineStr">
        <is>
          <t>/api/v1/me/care-history</t>
        </is>
      </c>
      <c r="G95" s="24" t="inlineStr">
        <is>
          <t>Query</t>
        </is>
      </c>
      <c r="H95" s="25" t="inlineStr">
        <is>
          <t>UC-SPA-26, UC-SPA-27</t>
        </is>
      </c>
      <c r="I95" s="25" t="inlineStr">
        <is>
          <t>SCR-W28, SCR-M27</t>
        </is>
      </c>
      <c r="J95" s="25" t="inlineStr">
        <is>
          <t>STF</t>
        </is>
      </c>
      <c r="K95" s="25" t="inlineStr">
        <is>
          <t>?q (tên/SĐT khách)&amp;tuNgay&amp;denNgay&amp;page&amp;pageSize</t>
        </is>
      </c>
      <c r="L95" s="25" t="inlineStr">
        <is>
          <t>PagedResult&lt;LanChamSocDto&gt;</t>
        </is>
      </c>
      <c r="M95" s="24" t="inlineStr">
        <is>
          <t>200</t>
        </is>
      </c>
      <c r="N95" s="25" t="inlineStr">
        <is>
          <t>Chỉ lịch hẹn của chính nhân viên</t>
        </is>
      </c>
      <c r="O95" s="24" t="inlineStr">
        <is>
          <t>Đề xuất</t>
        </is>
      </c>
    </row>
    <row r="96">
      <c r="A96" s="26" t="inlineStr">
        <is>
          <t>SPA-API-092</t>
        </is>
      </c>
      <c r="B96" s="26" t="inlineStr">
        <is>
          <t>CARE</t>
        </is>
      </c>
      <c r="C96" s="27" t="inlineStr">
        <is>
          <t>Chăm sóc &amp; hồ sơ da</t>
        </is>
      </c>
      <c r="D96" s="27" t="inlineStr">
        <is>
          <t>Xem hồ sơ da của lần chăm sóc</t>
        </is>
      </c>
      <c r="E96" s="26" t="inlineStr">
        <is>
          <t>GET</t>
        </is>
      </c>
      <c r="F96" s="27" t="inlineStr">
        <is>
          <t>/api/v1/appointments/{id}/skin-profile</t>
        </is>
      </c>
      <c r="G96" s="26" t="inlineStr">
        <is>
          <t>Query</t>
        </is>
      </c>
      <c r="H96" s="27" t="inlineStr">
        <is>
          <t>UC-SPA-27, UC-SPA-26</t>
        </is>
      </c>
      <c r="I96" s="27" t="inlineStr">
        <is>
          <t>SCR-W27, SCR-W28, SCR-M26</t>
        </is>
      </c>
      <c r="J96" s="27" t="inlineStr">
        <is>
          <t>STF, OWN</t>
        </is>
      </c>
      <c r="K96" s="27" t="inlineStr">
        <is>
          <t>—</t>
        </is>
      </c>
      <c r="L96" s="27" t="inlineStr">
        <is>
          <t>HoSoDaDto | 404</t>
        </is>
      </c>
      <c r="M96" s="26" t="inlineStr">
        <is>
          <t>200</t>
        </is>
      </c>
      <c r="N96" s="27" t="inlineStr"/>
      <c r="O96" s="26" t="inlineStr">
        <is>
          <t>Đề xuất</t>
        </is>
      </c>
    </row>
    <row r="97">
      <c r="A97" s="24" t="inlineStr">
        <is>
          <t>SPA-API-093</t>
        </is>
      </c>
      <c r="B97" s="24" t="inlineStr">
        <is>
          <t>CARE</t>
        </is>
      </c>
      <c r="C97" s="25" t="inlineStr">
        <is>
          <t>Chăm sóc &amp; hồ sơ da</t>
        </is>
      </c>
      <c r="D97" s="25" t="inlineStr">
        <is>
          <t>Lập hồ sơ da</t>
        </is>
      </c>
      <c r="E97" s="24" t="inlineStr">
        <is>
          <t>POST</t>
        </is>
      </c>
      <c r="F97" s="25" t="inlineStr">
        <is>
          <t>/api/v1/appointments/{id}/skin-profile</t>
        </is>
      </c>
      <c r="G97" s="24" t="inlineStr">
        <is>
          <t>Command</t>
        </is>
      </c>
      <c r="H97" s="25" t="inlineStr">
        <is>
          <t>UC-SPA-27</t>
        </is>
      </c>
      <c r="I97" s="25" t="inlineStr">
        <is>
          <t>SCR-W27, SCR-W28, SCR-M26</t>
        </is>
      </c>
      <c r="J97" s="25" t="inlineStr">
        <is>
          <t>STF</t>
        </is>
      </c>
      <c r="K97" s="25" t="inlineStr">
        <is>
          <t>{loaiDa, vanDeChinh, sanPhamDangDung, mucTieuChamSoc, deXuatDieuTri, ghiChu}</t>
        </is>
      </c>
      <c r="L97" s="25" t="inlineStr">
        <is>
          <t>HoSoDaDto</t>
        </is>
      </c>
      <c r="M97" s="24" t="inlineStr">
        <is>
          <t>201</t>
        </is>
      </c>
      <c r="N97" s="25" t="inlineStr">
        <is>
          <t>409 nếu lịch hẹn đã có hồ sơ (IdLichHen unique)</t>
        </is>
      </c>
      <c r="O97" s="24" t="inlineStr">
        <is>
          <t>Đề xuất</t>
        </is>
      </c>
    </row>
    <row r="98">
      <c r="A98" s="26" t="inlineStr">
        <is>
          <t>SPA-API-094</t>
        </is>
      </c>
      <c r="B98" s="26" t="inlineStr">
        <is>
          <t>CARE</t>
        </is>
      </c>
      <c r="C98" s="27" t="inlineStr">
        <is>
          <t>Chăm sóc &amp; hồ sơ da</t>
        </is>
      </c>
      <c r="D98" s="27" t="inlineStr">
        <is>
          <t>Cập nhật hồ sơ da</t>
        </is>
      </c>
      <c r="E98" s="26" t="inlineStr">
        <is>
          <t>PUT</t>
        </is>
      </c>
      <c r="F98" s="27" t="inlineStr">
        <is>
          <t>/api/v1/skin-profiles/{id}</t>
        </is>
      </c>
      <c r="G98" s="26" t="inlineStr">
        <is>
          <t>Command</t>
        </is>
      </c>
      <c r="H98" s="27" t="inlineStr">
        <is>
          <t>UC-SPA-27</t>
        </is>
      </c>
      <c r="I98" s="27" t="inlineStr">
        <is>
          <t>SCR-W27, SCR-W28, SCR-M26</t>
        </is>
      </c>
      <c r="J98" s="27" t="inlineStr">
        <is>
          <t>STF</t>
        </is>
      </c>
      <c r="K98" s="27" t="inlineStr">
        <is>
          <t>như lập</t>
        </is>
      </c>
      <c r="L98" s="27" t="inlineStr">
        <is>
          <t>HoSoDaDto</t>
        </is>
      </c>
      <c r="M98" s="26" t="inlineStr">
        <is>
          <t>200</t>
        </is>
      </c>
      <c r="N98" s="27" t="inlineStr"/>
      <c r="O98" s="26" t="inlineStr">
        <is>
          <t>Đề xuất</t>
        </is>
      </c>
    </row>
    <row r="99">
      <c r="A99" s="24" t="inlineStr">
        <is>
          <t>SPA-API-095</t>
        </is>
      </c>
      <c r="B99" s="24" t="inlineStr">
        <is>
          <t>CARE</t>
        </is>
      </c>
      <c r="C99" s="25" t="inlineStr">
        <is>
          <t>Chăm sóc &amp; hồ sơ da</t>
        </is>
      </c>
      <c r="D99" s="25" t="inlineStr">
        <is>
          <t>Dị ứng của khách</t>
        </is>
      </c>
      <c r="E99" s="24" t="inlineStr">
        <is>
          <t>GET</t>
        </is>
      </c>
      <c r="F99" s="25" t="inlineStr">
        <is>
          <t>/api/v1/customers/{id}/allergies</t>
        </is>
      </c>
      <c r="G99" s="24" t="inlineStr">
        <is>
          <t>Query</t>
        </is>
      </c>
      <c r="H99" s="25" t="inlineStr">
        <is>
          <t>UC-SPA-27, UC-SPA-25</t>
        </is>
      </c>
      <c r="I99" s="25" t="inlineStr">
        <is>
          <t>SCR-W27, SCR-M26</t>
        </is>
      </c>
      <c r="J99" s="25" t="inlineStr">
        <is>
          <t>STF, OWN</t>
        </is>
      </c>
      <c r="K99" s="25" t="inlineStr">
        <is>
          <t>—</t>
        </is>
      </c>
      <c r="L99" s="25" t="inlineStr">
        <is>
          <t>DiUngDto[]</t>
        </is>
      </c>
      <c r="M99" s="24" t="inlineStr">
        <is>
          <t>200</t>
        </is>
      </c>
      <c r="N99" s="25" t="inlineStr"/>
      <c r="O99" s="24" t="inlineStr">
        <is>
          <t>Đề xuất</t>
        </is>
      </c>
    </row>
    <row r="100">
      <c r="A100" s="26" t="inlineStr">
        <is>
          <t>SPA-API-096</t>
        </is>
      </c>
      <c r="B100" s="26" t="inlineStr">
        <is>
          <t>CARE</t>
        </is>
      </c>
      <c r="C100" s="27" t="inlineStr">
        <is>
          <t>Chăm sóc &amp; hồ sơ da</t>
        </is>
      </c>
      <c r="D100" s="27" t="inlineStr">
        <is>
          <t>Ghi nhận dị ứng</t>
        </is>
      </c>
      <c r="E100" s="26" t="inlineStr">
        <is>
          <t>POST</t>
        </is>
      </c>
      <c r="F100" s="27" t="inlineStr">
        <is>
          <t>/api/v1/customers/{id}/allergies</t>
        </is>
      </c>
      <c r="G100" s="26" t="inlineStr">
        <is>
          <t>Command</t>
        </is>
      </c>
      <c r="H100" s="27" t="inlineStr">
        <is>
          <t>UC-SPA-27</t>
        </is>
      </c>
      <c r="I100" s="27" t="inlineStr">
        <is>
          <t>SCR-W27, SCR-M26</t>
        </is>
      </c>
      <c r="J100" s="27" t="inlineStr">
        <is>
          <t>STF</t>
        </is>
      </c>
      <c r="K100" s="27" t="inlineStr">
        <is>
          <t>{tacNhan, mucDo, ghiChu}</t>
        </is>
      </c>
      <c r="L100" s="27" t="inlineStr">
        <is>
          <t>DiUngDto</t>
        </is>
      </c>
      <c r="M100" s="26" t="inlineStr">
        <is>
          <t>201</t>
        </is>
      </c>
      <c r="N100" s="27" t="inlineStr"/>
      <c r="O100" s="26" t="inlineStr">
        <is>
          <t>Đề xuất</t>
        </is>
      </c>
    </row>
    <row r="101">
      <c r="A101" s="24" t="inlineStr">
        <is>
          <t>SPA-API-097</t>
        </is>
      </c>
      <c r="B101" s="24" t="inlineStr">
        <is>
          <t>CARE</t>
        </is>
      </c>
      <c r="C101" s="25" t="inlineStr">
        <is>
          <t>Chăm sóc &amp; hồ sơ da</t>
        </is>
      </c>
      <c r="D101" s="25" t="inlineStr">
        <is>
          <t>Xác nhận hoàn thành buổi chăm sóc</t>
        </is>
      </c>
      <c r="E101" s="24" t="inlineStr">
        <is>
          <t>POST</t>
        </is>
      </c>
      <c r="F101" s="25" t="inlineStr">
        <is>
          <t>/api/v1/appointments/{id}/complete</t>
        </is>
      </c>
      <c r="G101" s="24" t="inlineStr">
        <is>
          <t>Command</t>
        </is>
      </c>
      <c r="H101" s="25" t="inlineStr">
        <is>
          <t>UC-SPA-28</t>
        </is>
      </c>
      <c r="I101" s="25" t="inlineStr">
        <is>
          <t>SCR-W27, SCR-M26</t>
        </is>
      </c>
      <c r="J101" s="25" t="inlineStr">
        <is>
          <t>STF</t>
        </is>
      </c>
      <c r="K101" s="25" t="inlineStr">
        <is>
          <t>{ketQua}</t>
        </is>
      </c>
      <c r="L101" s="25" t="inlineStr">
        <is>
          <t>LichHenDto + tienDoGoi?</t>
        </is>
      </c>
      <c r="M101" s="24" t="inlineStr">
        <is>
          <t>200</t>
        </is>
      </c>
      <c r="N101" s="25" t="inlineStr">
        <is>
          <t>Giao dịch: LichHen HoanThanh + DichVuKhachHang DaSuDung | BuoiChamSoc HoanThanh, GoiKhachHang.SoBuoiDaDung+1</t>
        </is>
      </c>
      <c r="O101" s="24" t="inlineStr">
        <is>
          <t>Đề xuất</t>
        </is>
      </c>
    </row>
    <row r="102">
      <c r="A102" s="26" t="inlineStr">
        <is>
          <t>SPA-API-098</t>
        </is>
      </c>
      <c r="B102" s="26" t="inlineStr">
        <is>
          <t>REV</t>
        </is>
      </c>
      <c r="C102" s="27" t="inlineStr">
        <is>
          <t>Đánh giá</t>
        </is>
      </c>
      <c r="D102" s="27" t="inlineStr">
        <is>
          <t>Đánh giá của dịch vụ</t>
        </is>
      </c>
      <c r="E102" s="26" t="inlineStr">
        <is>
          <t>GET</t>
        </is>
      </c>
      <c r="F102" s="27" t="inlineStr">
        <is>
          <t>/api/v1/services/{id}/reviews</t>
        </is>
      </c>
      <c r="G102" s="26" t="inlineStr">
        <is>
          <t>Query</t>
        </is>
      </c>
      <c r="H102" s="27" t="inlineStr">
        <is>
          <t>UC-SPA-29</t>
        </is>
      </c>
      <c r="I102" s="27" t="inlineStr">
        <is>
          <t>SCR-W03, SCR-M03</t>
        </is>
      </c>
      <c r="J102" s="27" t="inlineStr">
        <is>
          <t>ALL</t>
        </is>
      </c>
      <c r="K102" s="27" t="inlineStr">
        <is>
          <t>?soSao&amp;page&amp;pageSize</t>
        </is>
      </c>
      <c r="L102" s="27" t="inlineStr">
        <is>
          <t>{diemTrungBinh, soLuong, items[]}</t>
        </is>
      </c>
      <c r="M102" s="26" t="inlineStr">
        <is>
          <t>200</t>
        </is>
      </c>
      <c r="N102" s="27" t="inlineStr">
        <is>
          <t>Chỉ TrangThai HienThi</t>
        </is>
      </c>
      <c r="O102" s="26" t="inlineStr">
        <is>
          <t>Đề xuất</t>
        </is>
      </c>
    </row>
    <row r="103">
      <c r="A103" s="24" t="inlineStr">
        <is>
          <t>SPA-API-099</t>
        </is>
      </c>
      <c r="B103" s="24" t="inlineStr">
        <is>
          <t>REV</t>
        </is>
      </c>
      <c r="C103" s="25" t="inlineStr">
        <is>
          <t>Đánh giá</t>
        </is>
      </c>
      <c r="D103" s="25" t="inlineStr">
        <is>
          <t>Đánh giá của gói</t>
        </is>
      </c>
      <c r="E103" s="24" t="inlineStr">
        <is>
          <t>GET</t>
        </is>
      </c>
      <c r="F103" s="25" t="inlineStr">
        <is>
          <t>/api/v1/packages/{id}/reviews</t>
        </is>
      </c>
      <c r="G103" s="24" t="inlineStr">
        <is>
          <t>Query</t>
        </is>
      </c>
      <c r="H103" s="25" t="inlineStr">
        <is>
          <t>UC-SPA-29</t>
        </is>
      </c>
      <c r="I103" s="25" t="inlineStr">
        <is>
          <t>SCR-W05, SCR-M05</t>
        </is>
      </c>
      <c r="J103" s="25" t="inlineStr">
        <is>
          <t>ALL</t>
        </is>
      </c>
      <c r="K103" s="25" t="inlineStr">
        <is>
          <t>?soSao&amp;page&amp;pageSize</t>
        </is>
      </c>
      <c r="L103" s="25" t="inlineStr">
        <is>
          <t>{diemTrungBinh, soLuong, items[]}</t>
        </is>
      </c>
      <c r="M103" s="24" t="inlineStr">
        <is>
          <t>200</t>
        </is>
      </c>
      <c r="N103" s="25" t="inlineStr"/>
      <c r="O103" s="24" t="inlineStr">
        <is>
          <t>Đề xuất</t>
        </is>
      </c>
    </row>
    <row r="104">
      <c r="A104" s="26" t="inlineStr">
        <is>
          <t>SPA-API-100</t>
        </is>
      </c>
      <c r="B104" s="26" t="inlineStr">
        <is>
          <t>REV</t>
        </is>
      </c>
      <c r="C104" s="27" t="inlineStr">
        <is>
          <t>Đánh giá</t>
        </is>
      </c>
      <c r="D104" s="27" t="inlineStr">
        <is>
          <t>Sản phẩm có thể đánh giá</t>
        </is>
      </c>
      <c r="E104" s="26" t="inlineStr">
        <is>
          <t>GET</t>
        </is>
      </c>
      <c r="F104" s="27" t="inlineStr">
        <is>
          <t>/api/v1/me/reviewable</t>
        </is>
      </c>
      <c r="G104" s="26" t="inlineStr">
        <is>
          <t>Query</t>
        </is>
      </c>
      <c r="H104" s="27" t="inlineStr">
        <is>
          <t>UC-SPA-30</t>
        </is>
      </c>
      <c r="I104" s="27" t="inlineStr">
        <is>
          <t>SCR-W20, SCR-W18, SCR-M17</t>
        </is>
      </c>
      <c r="J104" s="27" t="inlineStr">
        <is>
          <t>CUS</t>
        </is>
      </c>
      <c r="K104" s="27" t="inlineStr">
        <is>
          <t>—</t>
        </is>
      </c>
      <c r="L104" s="27" t="inlineStr">
        <is>
          <t>[{loai, id, ten, duDieuKien, lyDo?}]</t>
        </is>
      </c>
      <c r="M104" s="26" t="inlineStr">
        <is>
          <t>200</t>
        </is>
      </c>
      <c r="N104" s="27" t="inlineStr"/>
      <c r="O104" s="26" t="inlineStr">
        <is>
          <t>Đề xuất</t>
        </is>
      </c>
    </row>
    <row r="105">
      <c r="A105" s="24" t="inlineStr">
        <is>
          <t>SPA-API-101</t>
        </is>
      </c>
      <c r="B105" s="24" t="inlineStr">
        <is>
          <t>REV</t>
        </is>
      </c>
      <c r="C105" s="25" t="inlineStr">
        <is>
          <t>Đánh giá</t>
        </is>
      </c>
      <c r="D105" s="25" t="inlineStr">
        <is>
          <t>Gửi đánh giá</t>
        </is>
      </c>
      <c r="E105" s="24" t="inlineStr">
        <is>
          <t>POST</t>
        </is>
      </c>
      <c r="F105" s="25" t="inlineStr">
        <is>
          <t>/api/v1/me/reviews</t>
        </is>
      </c>
      <c r="G105" s="24" t="inlineStr">
        <is>
          <t>Upload</t>
        </is>
      </c>
      <c r="H105" s="25" t="inlineStr">
        <is>
          <t>UC-SPA-30</t>
        </is>
      </c>
      <c r="I105" s="25" t="inlineStr">
        <is>
          <t>SCR-W20, SCR-M17</t>
        </is>
      </c>
      <c r="J105" s="25" t="inlineStr">
        <is>
          <t>CUS</t>
        </is>
      </c>
      <c r="K105" s="25" t="inlineStr">
        <is>
          <t>multipart {idDichVu? | idGoiDichVu?, soSao, noiDung, hinhAnh?}</t>
        </is>
      </c>
      <c r="L105" s="25" t="inlineStr">
        <is>
          <t>DanhGiaDto</t>
        </is>
      </c>
      <c r="M105" s="24" t="inlineStr">
        <is>
          <t>201</t>
        </is>
      </c>
      <c r="N105" s="25" t="inlineStr">
        <is>
          <t>400 REVIEW_NOT_ELIGIBLE (E1)</t>
        </is>
      </c>
      <c r="O105" s="24" t="inlineStr">
        <is>
          <t>Đề xuất</t>
        </is>
      </c>
    </row>
    <row r="106">
      <c r="A106" s="26" t="inlineStr">
        <is>
          <t>SPA-API-102</t>
        </is>
      </c>
      <c r="B106" s="26" t="inlineStr">
        <is>
          <t>REV</t>
        </is>
      </c>
      <c r="C106" s="27" t="inlineStr">
        <is>
          <t>Đánh giá</t>
        </is>
      </c>
      <c r="D106" s="27" t="inlineStr">
        <is>
          <t>Danh sách đánh giá (chủ spa)</t>
        </is>
      </c>
      <c r="E106" s="26" t="inlineStr">
        <is>
          <t>GET</t>
        </is>
      </c>
      <c r="F106" s="27" t="inlineStr">
        <is>
          <t>/api/v1/reviews</t>
        </is>
      </c>
      <c r="G106" s="26" t="inlineStr">
        <is>
          <t>Query</t>
        </is>
      </c>
      <c r="H106" s="27" t="inlineStr">
        <is>
          <t>UC-SPA-31</t>
        </is>
      </c>
      <c r="I106" s="27" t="inlineStr">
        <is>
          <t>SCR-W39</t>
        </is>
      </c>
      <c r="J106" s="27" t="inlineStr">
        <is>
          <t>OWN</t>
        </is>
      </c>
      <c r="K106" s="27" t="inlineStr">
        <is>
          <t>?soSao&amp;idDichVu&amp;idGoiDichVu&amp;trangThai&amp;page&amp;pageSize</t>
        </is>
      </c>
      <c r="L106" s="27" t="inlineStr">
        <is>
          <t>PagedResult&lt;DanhGiaDto&gt;</t>
        </is>
      </c>
      <c r="M106" s="26" t="inlineStr">
        <is>
          <t>200</t>
        </is>
      </c>
      <c r="N106" s="27" t="inlineStr"/>
      <c r="O106" s="26" t="inlineStr">
        <is>
          <t>Đề xuất</t>
        </is>
      </c>
    </row>
    <row r="107">
      <c r="A107" s="24" t="inlineStr">
        <is>
          <t>SPA-API-103</t>
        </is>
      </c>
      <c r="B107" s="24" t="inlineStr">
        <is>
          <t>REV</t>
        </is>
      </c>
      <c r="C107" s="25" t="inlineStr">
        <is>
          <t>Đánh giá</t>
        </is>
      </c>
      <c r="D107" s="25" t="inlineStr">
        <is>
          <t>Phản hồi đánh giá</t>
        </is>
      </c>
      <c r="E107" s="24" t="inlineStr">
        <is>
          <t>POST</t>
        </is>
      </c>
      <c r="F107" s="25" t="inlineStr">
        <is>
          <t>/api/v1/reviews/{id}/reply</t>
        </is>
      </c>
      <c r="G107" s="24" t="inlineStr">
        <is>
          <t>Command</t>
        </is>
      </c>
      <c r="H107" s="25" t="inlineStr">
        <is>
          <t>UC-SPA-31</t>
        </is>
      </c>
      <c r="I107" s="25" t="inlineStr">
        <is>
          <t>SCR-W39</t>
        </is>
      </c>
      <c r="J107" s="25" t="inlineStr">
        <is>
          <t>OWN</t>
        </is>
      </c>
      <c r="K107" s="25" t="inlineStr">
        <is>
          <t>{phanHoi}</t>
        </is>
      </c>
      <c r="L107" s="25" t="inlineStr">
        <is>
          <t>DanhGiaDto</t>
        </is>
      </c>
      <c r="M107" s="24" t="inlineStr">
        <is>
          <t>200</t>
        </is>
      </c>
      <c r="N107" s="25" t="inlineStr">
        <is>
          <t>Ghi PhanHoiTuSpa, PhanHoiLuc</t>
        </is>
      </c>
      <c r="O107" s="24" t="inlineStr">
        <is>
          <t>Đề xuất</t>
        </is>
      </c>
    </row>
    <row r="108">
      <c r="A108" s="26" t="inlineStr">
        <is>
          <t>SPA-API-104</t>
        </is>
      </c>
      <c r="B108" s="26" t="inlineStr">
        <is>
          <t>REV</t>
        </is>
      </c>
      <c r="C108" s="27" t="inlineStr">
        <is>
          <t>Đánh giá</t>
        </is>
      </c>
      <c r="D108" s="27" t="inlineStr">
        <is>
          <t>Ẩn / hiện đánh giá</t>
        </is>
      </c>
      <c r="E108" s="26" t="inlineStr">
        <is>
          <t>PATCH</t>
        </is>
      </c>
      <c r="F108" s="27" t="inlineStr">
        <is>
          <t>/api/v1/reviews/{id}/visibility</t>
        </is>
      </c>
      <c r="G108" s="26" t="inlineStr">
        <is>
          <t>Command</t>
        </is>
      </c>
      <c r="H108" s="27" t="inlineStr">
        <is>
          <t>UC-SPA-31</t>
        </is>
      </c>
      <c r="I108" s="27" t="inlineStr">
        <is>
          <t>SCR-W39</t>
        </is>
      </c>
      <c r="J108" s="27" t="inlineStr">
        <is>
          <t>OWN</t>
        </is>
      </c>
      <c r="K108" s="27" t="inlineStr">
        <is>
          <t>{trangThai: HienThi|An}</t>
        </is>
      </c>
      <c r="L108" s="27" t="inlineStr">
        <is>
          <t>—</t>
        </is>
      </c>
      <c r="M108" s="26" t="inlineStr">
        <is>
          <t>204</t>
        </is>
      </c>
      <c r="N108" s="27" t="inlineStr"/>
      <c r="O108" s="26" t="inlineStr">
        <is>
          <t>Đề xuất</t>
        </is>
      </c>
    </row>
    <row r="109">
      <c r="A109" s="24" t="inlineStr">
        <is>
          <t>SPA-API-105</t>
        </is>
      </c>
      <c r="B109" s="24" t="inlineStr">
        <is>
          <t>AI</t>
        </is>
      </c>
      <c r="C109" s="25" t="inlineStr">
        <is>
          <t>Trợ lý AI</t>
        </is>
      </c>
      <c r="D109" s="25" t="inlineStr">
        <is>
          <t>Lịch sử trò chuyện AI</t>
        </is>
      </c>
      <c r="E109" s="24" t="inlineStr">
        <is>
          <t>GET</t>
        </is>
      </c>
      <c r="F109" s="25" t="inlineStr">
        <is>
          <t>/api/v1/me/ai/history</t>
        </is>
      </c>
      <c r="G109" s="24" t="inlineStr">
        <is>
          <t>Query</t>
        </is>
      </c>
      <c r="H109" s="25" t="inlineStr">
        <is>
          <t>UC-SPA-32</t>
        </is>
      </c>
      <c r="I109" s="25" t="inlineStr">
        <is>
          <t>SCR-W21, SCR-M16</t>
        </is>
      </c>
      <c r="J109" s="25" t="inlineStr">
        <is>
          <t>CUS</t>
        </is>
      </c>
      <c r="K109" s="25" t="inlineStr">
        <is>
          <t>?truoc&amp;limit</t>
        </is>
      </c>
      <c r="L109" s="25" t="inlineStr">
        <is>
          <t>LichSuTroChuyenDto[]</t>
        </is>
      </c>
      <c r="M109" s="24" t="inlineStr">
        <is>
          <t>200</t>
        </is>
      </c>
      <c r="N109" s="25" t="inlineStr"/>
      <c r="O109" s="24" t="inlineStr">
        <is>
          <t>Đề xuất</t>
        </is>
      </c>
    </row>
    <row r="110">
      <c r="A110" s="26" t="inlineStr">
        <is>
          <t>SPA-API-106</t>
        </is>
      </c>
      <c r="B110" s="26" t="inlineStr">
        <is>
          <t>AI</t>
        </is>
      </c>
      <c r="C110" s="27" t="inlineStr">
        <is>
          <t>Trợ lý AI</t>
        </is>
      </c>
      <c r="D110" s="27" t="inlineStr">
        <is>
          <t>Gửi câu hỏi cho trợ lý AI</t>
        </is>
      </c>
      <c r="E110" s="26" t="inlineStr">
        <is>
          <t>POST</t>
        </is>
      </c>
      <c r="F110" s="27" t="inlineStr">
        <is>
          <t>/api/v1/ai/chat</t>
        </is>
      </c>
      <c r="G110" s="26" t="inlineStr">
        <is>
          <t>Command</t>
        </is>
      </c>
      <c r="H110" s="27" t="inlineStr">
        <is>
          <t>UC-SPA-32</t>
        </is>
      </c>
      <c r="I110" s="27" t="inlineStr">
        <is>
          <t>SCR-W01, SCR-W02, SCR-W21, SCR-M16</t>
        </is>
      </c>
      <c r="J110" s="27" t="inlineStr">
        <is>
          <t>GUEST, CUS</t>
        </is>
      </c>
      <c r="K110" s="27" t="inlineStr">
        <is>
          <t>{cauHoi}</t>
        </is>
      </c>
      <c r="L110" s="27" t="inlineStr">
        <is>
          <t>{cauTraLoi, goiY[{loai, id, ten, link}]}</t>
        </is>
      </c>
      <c r="M110" s="26" t="inlineStr">
        <is>
          <t>200</t>
        </is>
      </c>
      <c r="N110" s="27" t="inlineStr">
        <is>
          <t>400 AI_INVALID_INPUT (E1); 503 AI_UNAVAILABLE (E2); chỉ lưu khi là khách hàng</t>
        </is>
      </c>
      <c r="O110" s="26" t="inlineStr">
        <is>
          <t>Đề xuất</t>
        </is>
      </c>
    </row>
    <row r="111">
      <c r="A111" s="24" t="inlineStr">
        <is>
          <t>SPA-API-107</t>
        </is>
      </c>
      <c r="B111" s="24" t="inlineStr">
        <is>
          <t>RPT</t>
        </is>
      </c>
      <c r="C111" s="25" t="inlineStr">
        <is>
          <t>Thống kê &amp; báo cáo</t>
        </is>
      </c>
      <c r="D111" s="25" t="inlineStr">
        <is>
          <t>Báo cáo doanh thu</t>
        </is>
      </c>
      <c r="E111" s="24" t="inlineStr">
        <is>
          <t>GET</t>
        </is>
      </c>
      <c r="F111" s="25" t="inlineStr">
        <is>
          <t>/api/v1/reports/revenue</t>
        </is>
      </c>
      <c r="G111" s="24" t="inlineStr">
        <is>
          <t>Query</t>
        </is>
      </c>
      <c r="H111" s="25" t="inlineStr">
        <is>
          <t>UC-SPA-33</t>
        </is>
      </c>
      <c r="I111" s="25" t="inlineStr">
        <is>
          <t>SCR-W30, SCR-W38, SCR-M28, SCR-M32</t>
        </is>
      </c>
      <c r="J111" s="25" t="inlineStr">
        <is>
          <t>OWN</t>
        </is>
      </c>
      <c r="K111" s="25" t="inlineStr">
        <is>
          <t>?tuNgay&amp;denNgay&amp;nhomTheo=thang|quy|nam&amp;tieuChi=TatCa|DichVu|Goi</t>
        </is>
      </c>
      <c r="L111" s="25" t="inlineStr">
        <is>
          <t>{tong, ky[{nhan, doanhThu, soDon}]}</t>
        </is>
      </c>
      <c r="M111" s="24" t="inlineStr">
        <is>
          <t>200</t>
        </is>
      </c>
      <c r="N111" s="25" t="inlineStr">
        <is>
          <t>Tổng ThanhToan ThanhCong theo ThoiGianThanhToan</t>
        </is>
      </c>
      <c r="O111" s="24" t="inlineStr">
        <is>
          <t>Đề xuất</t>
        </is>
      </c>
    </row>
    <row r="112">
      <c r="A112" s="26" t="inlineStr">
        <is>
          <t>SPA-API-108</t>
        </is>
      </c>
      <c r="B112" s="26" t="inlineStr">
        <is>
          <t>RPT</t>
        </is>
      </c>
      <c r="C112" s="27" t="inlineStr">
        <is>
          <t>Thống kê &amp; báo cáo</t>
        </is>
      </c>
      <c r="D112" s="27" t="inlineStr">
        <is>
          <t>Doanh thu theo sản phẩm</t>
        </is>
      </c>
      <c r="E112" s="26" t="inlineStr">
        <is>
          <t>GET</t>
        </is>
      </c>
      <c r="F112" s="27" t="inlineStr">
        <is>
          <t>/api/v1/reports/revenue/by-product</t>
        </is>
      </c>
      <c r="G112" s="26" t="inlineStr">
        <is>
          <t>Query</t>
        </is>
      </c>
      <c r="H112" s="27" t="inlineStr">
        <is>
          <t>UC-SPA-33</t>
        </is>
      </c>
      <c r="I112" s="27" t="inlineStr">
        <is>
          <t>SCR-W38</t>
        </is>
      </c>
      <c r="J112" s="27" t="inlineStr">
        <is>
          <t>OWN</t>
        </is>
      </c>
      <c r="K112" s="27" t="inlineStr">
        <is>
          <t>?tuNgay&amp;denNgay&amp;loai&amp;top</t>
        </is>
      </c>
      <c r="L112" s="27" t="inlineStr">
        <is>
          <t>[{ten, loai, soLuong, doanhThu}]</t>
        </is>
      </c>
      <c r="M112" s="26" t="inlineStr">
        <is>
          <t>200</t>
        </is>
      </c>
      <c r="N112" s="27" t="inlineStr"/>
      <c r="O112" s="26" t="inlineStr">
        <is>
          <t>Đề xuất</t>
        </is>
      </c>
    </row>
    <row r="113">
      <c r="A113" s="24" t="inlineStr">
        <is>
          <t>SPA-API-109</t>
        </is>
      </c>
      <c r="B113" s="24" t="inlineStr">
        <is>
          <t>RPT</t>
        </is>
      </c>
      <c r="C113" s="25" t="inlineStr">
        <is>
          <t>Thống kê &amp; báo cáo</t>
        </is>
      </c>
      <c r="D113" s="25" t="inlineStr">
        <is>
          <t>Xuất báo cáo Excel</t>
        </is>
      </c>
      <c r="E113" s="24" t="inlineStr">
        <is>
          <t>GET</t>
        </is>
      </c>
      <c r="F113" s="25" t="inlineStr">
        <is>
          <t>/api/v1/reports/revenue/export</t>
        </is>
      </c>
      <c r="G113" s="24" t="inlineStr">
        <is>
          <t>Query</t>
        </is>
      </c>
      <c r="H113" s="25" t="inlineStr">
        <is>
          <t>UC-SPA-33</t>
        </is>
      </c>
      <c r="I113" s="25" t="inlineStr">
        <is>
          <t>SCR-W38</t>
        </is>
      </c>
      <c r="J113" s="25" t="inlineStr">
        <is>
          <t>OWN</t>
        </is>
      </c>
      <c r="K113" s="25" t="inlineStr">
        <is>
          <t>cùng tham số SPA-API-107</t>
        </is>
      </c>
      <c r="L113" s="25" t="inlineStr">
        <is>
          <t>file .xlsx</t>
        </is>
      </c>
      <c r="M113" s="24" t="inlineStr">
        <is>
          <t>200</t>
        </is>
      </c>
      <c r="N113" s="25" t="inlineStr">
        <is>
          <t>ĐX</t>
        </is>
      </c>
      <c r="O113" s="24" t="inlineStr">
        <is>
          <t>Đề xuất</t>
        </is>
      </c>
    </row>
    <row r="114">
      <c r="A114" s="26" t="inlineStr">
        <is>
          <t>SPA-API-110</t>
        </is>
      </c>
      <c r="B114" s="26" t="inlineStr">
        <is>
          <t>NTF</t>
        </is>
      </c>
      <c r="C114" s="27" t="inlineStr">
        <is>
          <t>Thông báo</t>
        </is>
      </c>
      <c r="D114" s="27" t="inlineStr">
        <is>
          <t>Thông báo của tôi</t>
        </is>
      </c>
      <c r="E114" s="26" t="inlineStr">
        <is>
          <t>GET</t>
        </is>
      </c>
      <c r="F114" s="27" t="inlineStr">
        <is>
          <t>/api/v1/me/notifications</t>
        </is>
      </c>
      <c r="G114" s="26" t="inlineStr">
        <is>
          <t>Query</t>
        </is>
      </c>
      <c r="H114" s="27" t="inlineStr">
        <is>
          <t>UC-SPA-34</t>
        </is>
      </c>
      <c r="I114" s="27" t="inlineStr">
        <is>
          <t>SCR-W23, SCR-M22, SCR-M10</t>
        </is>
      </c>
      <c r="J114" s="27" t="inlineStr">
        <is>
          <t>CUS, STF</t>
        </is>
      </c>
      <c r="K114" s="27" t="inlineStr">
        <is>
          <t>?chuaDoc&amp;page&amp;pageSize</t>
        </is>
      </c>
      <c r="L114" s="27" t="inlineStr">
        <is>
          <t>PagedResult&lt;ThongBaoDto&gt;</t>
        </is>
      </c>
      <c r="M114" s="26" t="inlineStr">
        <is>
          <t>200</t>
        </is>
      </c>
      <c r="N114" s="27" t="inlineStr">
        <is>
          <t>A1 rỗng</t>
        </is>
      </c>
      <c r="O114" s="26" t="inlineStr">
        <is>
          <t>Đề xuất</t>
        </is>
      </c>
    </row>
    <row r="115">
      <c r="A115" s="24" t="inlineStr">
        <is>
          <t>SPA-API-111</t>
        </is>
      </c>
      <c r="B115" s="24" t="inlineStr">
        <is>
          <t>NTF</t>
        </is>
      </c>
      <c r="C115" s="25" t="inlineStr">
        <is>
          <t>Thông báo</t>
        </is>
      </c>
      <c r="D115" s="25" t="inlineStr">
        <is>
          <t>Mở thông báo</t>
        </is>
      </c>
      <c r="E115" s="24" t="inlineStr">
        <is>
          <t>GET</t>
        </is>
      </c>
      <c r="F115" s="25" t="inlineStr">
        <is>
          <t>/api/v1/me/notifications/{id}</t>
        </is>
      </c>
      <c r="G115" s="24" t="inlineStr">
        <is>
          <t>Query</t>
        </is>
      </c>
      <c r="H115" s="25" t="inlineStr">
        <is>
          <t>UC-SPA-34</t>
        </is>
      </c>
      <c r="I115" s="25" t="inlineStr">
        <is>
          <t>SCR-W23, SCR-M22</t>
        </is>
      </c>
      <c r="J115" s="25" t="inlineStr">
        <is>
          <t>CUS, STF</t>
        </is>
      </c>
      <c r="K115" s="25" t="inlineStr">
        <is>
          <t>—</t>
        </is>
      </c>
      <c r="L115" s="25" t="inlineStr">
        <is>
          <t>ThongBaoDto</t>
        </is>
      </c>
      <c r="M115" s="24" t="inlineStr">
        <is>
          <t>200</t>
        </is>
      </c>
      <c r="N115" s="25" t="inlineStr">
        <is>
          <t>Đồng thời ghi DocLuc nếu null</t>
        </is>
      </c>
      <c r="O115" s="24" t="inlineStr">
        <is>
          <t>Đề xuất</t>
        </is>
      </c>
    </row>
    <row r="116">
      <c r="A116" s="26" t="inlineStr">
        <is>
          <t>SPA-API-112</t>
        </is>
      </c>
      <c r="B116" s="26" t="inlineStr">
        <is>
          <t>NTF</t>
        </is>
      </c>
      <c r="C116" s="27" t="inlineStr">
        <is>
          <t>Thông báo</t>
        </is>
      </c>
      <c r="D116" s="27" t="inlineStr">
        <is>
          <t>Đánh dấu tất cả đã đọc</t>
        </is>
      </c>
      <c r="E116" s="26" t="inlineStr">
        <is>
          <t>POST</t>
        </is>
      </c>
      <c r="F116" s="27" t="inlineStr">
        <is>
          <t>/api/v1/me/notifications/read-all</t>
        </is>
      </c>
      <c r="G116" s="26" t="inlineStr">
        <is>
          <t>Command</t>
        </is>
      </c>
      <c r="H116" s="27" t="inlineStr">
        <is>
          <t>UC-SPA-34</t>
        </is>
      </c>
      <c r="I116" s="27" t="inlineStr">
        <is>
          <t>SCR-W23, SCR-M22</t>
        </is>
      </c>
      <c r="J116" s="27" t="inlineStr">
        <is>
          <t>CUS, STF</t>
        </is>
      </c>
      <c r="K116" s="27" t="inlineStr">
        <is>
          <t>—</t>
        </is>
      </c>
      <c r="L116" s="27" t="inlineStr">
        <is>
          <t>—</t>
        </is>
      </c>
      <c r="M116" s="26" t="inlineStr">
        <is>
          <t>204</t>
        </is>
      </c>
      <c r="N116" s="27" t="inlineStr">
        <is>
          <t>ĐX</t>
        </is>
      </c>
      <c r="O116" s="26" t="inlineStr">
        <is>
          <t>Đề xuất</t>
        </is>
      </c>
    </row>
    <row r="117">
      <c r="A117" s="24" t="inlineStr">
        <is>
          <t>SPA-API-113</t>
        </is>
      </c>
      <c r="B117" s="24" t="inlineStr">
        <is>
          <t>NTF</t>
        </is>
      </c>
      <c r="C117" s="25" t="inlineStr">
        <is>
          <t>Thông báo</t>
        </is>
      </c>
      <c r="D117" s="25" t="inlineStr">
        <is>
          <t>Số thông báo chưa đọc</t>
        </is>
      </c>
      <c r="E117" s="24" t="inlineStr">
        <is>
          <t>GET</t>
        </is>
      </c>
      <c r="F117" s="25" t="inlineStr">
        <is>
          <t>/api/v1/me/notifications/unread-count</t>
        </is>
      </c>
      <c r="G117" s="24" t="inlineStr">
        <is>
          <t>Query</t>
        </is>
      </c>
      <c r="H117" s="25" t="inlineStr">
        <is>
          <t>UC-SPA-34</t>
        </is>
      </c>
      <c r="I117" s="25" t="inlineStr">
        <is>
          <t>SCR-W23, SCR-M22</t>
        </is>
      </c>
      <c r="J117" s="25" t="inlineStr">
        <is>
          <t>CUS, STF</t>
        </is>
      </c>
      <c r="K117" s="25" t="inlineStr">
        <is>
          <t>—</t>
        </is>
      </c>
      <c r="L117" s="25" t="inlineStr">
        <is>
          <t>{soLuong}</t>
        </is>
      </c>
      <c r="M117" s="24" t="inlineStr">
        <is>
          <t>200</t>
        </is>
      </c>
      <c r="N117" s="25" t="inlineStr">
        <is>
          <t>Badge chuông</t>
        </is>
      </c>
      <c r="O117" s="24" t="inlineStr">
        <is>
          <t>Đề xuất</t>
        </is>
      </c>
    </row>
    <row r="118">
      <c r="A118" s="26" t="inlineStr">
        <is>
          <t>SPA-API-114</t>
        </is>
      </c>
      <c r="B118" s="26" t="inlineStr">
        <is>
          <t>SYS</t>
        </is>
      </c>
      <c r="C118" s="27" t="inlineStr">
        <is>
          <t>Hệ thống</t>
        </is>
      </c>
      <c r="D118" s="27" t="inlineStr">
        <is>
          <t>Ping hệ thống</t>
        </is>
      </c>
      <c r="E118" s="26" t="inlineStr">
        <is>
          <t>GET</t>
        </is>
      </c>
      <c r="F118" s="27" t="inlineStr">
        <is>
          <t>/api/v1/system/ping</t>
        </is>
      </c>
      <c r="G118" s="26" t="inlineStr">
        <is>
          <t>Query</t>
        </is>
      </c>
      <c r="H118" s="27" t="inlineStr">
        <is>
          <t>—</t>
        </is>
      </c>
      <c r="I118" s="27" t="inlineStr">
        <is>
          <t>SystemStatus (web, mobile)</t>
        </is>
      </c>
      <c r="J118" s="27" t="inlineStr">
        <is>
          <t>ALL</t>
        </is>
      </c>
      <c r="K118" s="27" t="inlineStr">
        <is>
          <t>—</t>
        </is>
      </c>
      <c r="L118" s="27" t="inlineStr">
        <is>
          <t>{status, timestampUtc}</t>
        </is>
      </c>
      <c r="M118" s="26" t="inlineStr">
        <is>
          <t>200</t>
        </is>
      </c>
      <c r="N118" s="27" t="inlineStr">
        <is>
          <t>ĐÃ CÓ trong foundation</t>
        </is>
      </c>
      <c r="O118" s="26" t="inlineStr">
        <is>
          <t>Đã có</t>
        </is>
      </c>
    </row>
    <row r="119">
      <c r="A119" s="24" t="inlineStr">
        <is>
          <t>SPA-API-115</t>
        </is>
      </c>
      <c r="B119" s="24" t="inlineStr">
        <is>
          <t>SYS</t>
        </is>
      </c>
      <c r="C119" s="25" t="inlineStr">
        <is>
          <t>Hệ thống</t>
        </is>
      </c>
      <c r="D119" s="25" t="inlineStr">
        <is>
          <t>Liveness</t>
        </is>
      </c>
      <c r="E119" s="24" t="inlineStr">
        <is>
          <t>GET</t>
        </is>
      </c>
      <c r="F119" s="25" t="inlineStr">
        <is>
          <t>/health/live</t>
        </is>
      </c>
      <c r="G119" s="24" t="inlineStr">
        <is>
          <t>Query</t>
        </is>
      </c>
      <c r="H119" s="25" t="inlineStr">
        <is>
          <t>—</t>
        </is>
      </c>
      <c r="I119" s="25" t="inlineStr">
        <is>
          <t>—</t>
        </is>
      </c>
      <c r="J119" s="25" t="inlineStr">
        <is>
          <t>ALL</t>
        </is>
      </c>
      <c r="K119" s="25" t="inlineStr">
        <is>
          <t>—</t>
        </is>
      </c>
      <c r="L119" s="25" t="inlineStr">
        <is>
          <t>{status: Healthy}</t>
        </is>
      </c>
      <c r="M119" s="24" t="inlineStr">
        <is>
          <t>200</t>
        </is>
      </c>
      <c r="N119" s="25" t="inlineStr">
        <is>
          <t>ĐÃ CÓ trong foundation</t>
        </is>
      </c>
      <c r="O119" s="24" t="inlineStr">
        <is>
          <t>Đã có</t>
        </is>
      </c>
    </row>
    <row r="120">
      <c r="A120" s="26" t="inlineStr">
        <is>
          <t>SPA-API-116</t>
        </is>
      </c>
      <c r="B120" s="26" t="inlineStr">
        <is>
          <t>SYS</t>
        </is>
      </c>
      <c r="C120" s="27" t="inlineStr">
        <is>
          <t>Hệ thống</t>
        </is>
      </c>
      <c r="D120" s="27" t="inlineStr">
        <is>
          <t>Readiness</t>
        </is>
      </c>
      <c r="E120" s="26" t="inlineStr">
        <is>
          <t>GET</t>
        </is>
      </c>
      <c r="F120" s="27" t="inlineStr">
        <is>
          <t>/health/ready</t>
        </is>
      </c>
      <c r="G120" s="26" t="inlineStr">
        <is>
          <t>Query</t>
        </is>
      </c>
      <c r="H120" s="27" t="inlineStr">
        <is>
          <t>—</t>
        </is>
      </c>
      <c r="I120" s="27" t="inlineStr">
        <is>
          <t>—</t>
        </is>
      </c>
      <c r="J120" s="27" t="inlineStr">
        <is>
          <t>ALL</t>
        </is>
      </c>
      <c r="K120" s="27" t="inlineStr">
        <is>
          <t>—</t>
        </is>
      </c>
      <c r="L120" s="27" t="inlineStr">
        <is>
          <t>{status: Healthy}</t>
        </is>
      </c>
      <c r="M120" s="26" t="inlineStr">
        <is>
          <t>200</t>
        </is>
      </c>
      <c r="N120" s="27" t="inlineStr">
        <is>
          <t>ĐÃ CÓ; bổ sung kiểm tra PostgreSQL khi có DB</t>
        </is>
      </c>
      <c r="O120" s="26" t="inlineStr">
        <is>
          <t>Đã có</t>
        </is>
      </c>
    </row>
  </sheetData>
  <autoFilter ref="A4:O120"/>
  <mergeCells count="3">
    <mergeCell ref="A1:O1"/>
    <mergeCell ref="A3:O3"/>
    <mergeCell ref="A2:O2"/>
  </mergeCells>
  <conditionalFormatting sqref="E5:E120">
    <cfRule type="expression" priority="1" dxfId="1">
      <formula>E5="GET"</formula>
    </cfRule>
    <cfRule type="expression" priority="2" dxfId="0">
      <formula>E5="POST"</formula>
    </cfRule>
    <cfRule type="expression" priority="3" dxfId="2">
      <formula>E5="PUT"</formula>
    </cfRule>
    <cfRule type="expression" priority="4" dxfId="6">
      <formula>E5="PATCH"</formula>
    </cfRule>
    <cfRule type="expression" priority="5" dxfId="3">
      <formula>E5="DELETE"</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3"/>
  <sheetViews>
    <sheetView zoomScale="90" workbookViewId="0">
      <pane ySplit="4" topLeftCell="A5" activePane="bottomLeft" state="frozen"/>
      <selection pane="bottomLeft" activeCell="A1" sqref="A1"/>
    </sheetView>
  </sheetViews>
  <sheetFormatPr baseColWidth="8" defaultRowHeight="15"/>
  <cols>
    <col width="13" customWidth="1" min="1" max="1"/>
    <col width="30" customWidth="1" min="2" max="2"/>
    <col width="70" customWidth="1" min="3" max="3"/>
    <col width="90" customWidth="1" min="4" max="4"/>
    <col width="50" customWidth="1" min="5" max="5"/>
  </cols>
  <sheetData>
    <row r="1" ht="26" customHeight="1">
      <c r="A1" s="1" t="inlineStr">
        <is>
          <t>13 · MẪU REQUEST / RESPONSE</t>
        </is>
      </c>
    </row>
    <row r="2">
      <c r="A2" s="2" t="inlineStr">
        <is>
          <t>JSON minh họa</t>
        </is>
      </c>
    </row>
    <row r="3" ht="30" customHeight="1">
      <c r="A3" s="3" t="inlineStr">
        <is>
          <t>ID minh họa; DATETIME dạng UTC.</t>
        </is>
      </c>
    </row>
    <row r="4" ht="32" customHeight="1">
      <c r="A4" s="4" t="inlineStr">
        <is>
          <t>API ID</t>
        </is>
      </c>
      <c r="B4" s="4" t="inlineStr">
        <is>
          <t>Mục đích</t>
        </is>
      </c>
      <c r="C4" s="4" t="inlineStr">
        <is>
          <t>Request</t>
        </is>
      </c>
      <c r="D4" s="4" t="inlineStr">
        <is>
          <t>Response</t>
        </is>
      </c>
      <c r="E4" s="4" t="inlineStr">
        <is>
          <t>Lưu ý</t>
        </is>
      </c>
    </row>
    <row r="5">
      <c r="A5" s="24" t="inlineStr">
        <is>
          <t>SPA-API-051</t>
        </is>
      </c>
      <c r="B5" s="25" t="inlineStr">
        <is>
          <t>Tìm giờ trống</t>
        </is>
      </c>
      <c r="C5" s="25" t="inlineStr">
        <is>
          <t>GET /api/v1/availability?idDichVu=3f2a…&amp;ngay=2026-11-07</t>
        </is>
      </c>
      <c r="D5" s="25" t="inlineStr">
        <is>
          <t>{
  "success": true,
  "data": {
    "ngay": "2026-11-07",
    "nhanVien": [
      {"id": "7b1e…", "hoTen": "Trần Thị B", "khungGio": [{"gioBatDau": "09:00", "gioKetThuc": "10:00"}, {"gioBatDau": "10:15", "gioKetThuc": "11:15"}]},
      {"id": "91ac…", "hoTen": "Lê Thị C", "khungGio": [{"gioBatDau": "13:30", "gioKetThuc": "14:30"}]}
    ]
  },
  "errors": [],
  "traceId": "00-…"
}</t>
        </is>
      </c>
      <c r="E5" s="25" t="inlineStr">
        <is>
          <t>Giờ theo Asia/Ho_Chi_Minh vì LichHen lưu NgayHen + GioBatDau (TIME)</t>
        </is>
      </c>
    </row>
    <row r="6">
      <c r="A6" s="26" t="inlineStr">
        <is>
          <t>SPA-API-052</t>
        </is>
      </c>
      <c r="B6" s="27" t="inlineStr">
        <is>
          <t>Đặt ngay (luồng 1)</t>
        </is>
      </c>
      <c r="C6" s="27" t="inlineStr">
        <is>
          <t>POST /api/v1/me/appointments/book-now
Idempotency-Key: 6b1c…
{
  "idDichVu": "3f2a…",
  "ngay": "2026-11-07",
  "gioBatDau": "09:00",
  "idNhanVien": "7b1e…",
  "maKhuyenMai": "KHAIXUAN20"
}</t>
        </is>
      </c>
      <c r="D6" s="27" t="inlineStr">
        <is>
          <t>{
  "success": true,
  "message": "Đã giữ chỗ, vui lòng thanh toán trước 09:15",
  "data": {"idLichHen": "a91e…", "trangThai": "GiuCho", "giuChoDen": "2026-11-05T02:15:00Z", "idDonHang": "c77d…"}
}</t>
        </is>
      </c>
      <c r="E6" s="27" t="inlineStr">
        <is>
          <t>Tạo DonHang + ChiTietDonHang + LichHen(IdChiTietDonHang, GiuChoDen) trong 1 giao dịch</t>
        </is>
      </c>
    </row>
    <row r="7">
      <c r="A7" s="24" t="inlineStr">
        <is>
          <t>SPA-API-053</t>
        </is>
      </c>
      <c r="B7" s="25" t="inlineStr">
        <is>
          <t>Đặt lịch buổi trong gói (luồng 2)</t>
        </is>
      </c>
      <c r="C7" s="25" t="inlineStr">
        <is>
          <t>{
  "idBuoiChamSoc": "e3a4…",
  "ngay": "2026-11-14",
  "gioBatDau": "15:00",
  "idNhanVien": "7b1e…"
}</t>
        </is>
      </c>
      <c r="D7" s="25" t="inlineStr">
        <is>
          <t>{"success": true, "data": {"id": "…", "trangThai": "DaXacNhan", "ngayHen": "2026-11-14", "gioBatDau": "15:00", "gioKetThuc": "16:00"}}</t>
        </is>
      </c>
      <c r="E7" s="25" t="inlineStr">
        <is>
          <t>Kiểm tra GoiKhachHang còn hạn, BuoiChamSoc ChuaDat, ThuTu, KhoangCachNgayToiThieu</t>
        </is>
      </c>
    </row>
    <row r="8">
      <c r="A8" s="26" t="inlineStr">
        <is>
          <t>SPA-API-036</t>
        </is>
      </c>
      <c r="B8" s="27" t="inlineStr">
        <is>
          <t>Tạo đơn từ giỏ</t>
        </is>
      </c>
      <c r="C8" s="27" t="inlineStr">
        <is>
          <t>POST /api/v1/me/orders
{"nguon": "GioHang", "maKhuyenMai": null}</t>
        </is>
      </c>
      <c r="D8" s="27" t="inlineStr">
        <is>
          <t>{
  "success": true,
  "data": {
    "id": "c77d…", "maDonHang": "DH261025-0007",
    "chiTiet": [{"tenSanPham": "Liệu trình trị mụn 10 buổi", "donGia": 4500000, "tienGiam": 0, "thanhTien": 4500000}],
    "tongTienHang": 4500000, "tongGiamGia": 0, "tongThanhToan": 4500000,
    "trangThai": "ChoThanhToan", "hetHanThanhToanLuc": "2026-10-25T03:15:00Z"
  }
}</t>
        </is>
      </c>
      <c r="E8" s="27" t="inlineStr">
        <is>
          <t>Giá lấy từ DB tại thời điểm tạo đơn, không dùng DonGia trong giỏ</t>
        </is>
      </c>
    </row>
    <row r="9">
      <c r="A9" s="24" t="inlineStr">
        <is>
          <t>SPA-API-037</t>
        </is>
      </c>
      <c r="B9" s="25" t="inlineStr">
        <is>
          <t>Tạo lần thanh toán</t>
        </is>
      </c>
      <c r="C9" s="25" t="inlineStr">
        <is>
          <t>POST /api/v1/me/orders/c77d…/payments
{"returnUrl": "https://…/payment/result"}</t>
        </is>
      </c>
      <c r="D9" s="25" t="inlineStr">
        <is>
          <t>{"success": true, "data": {"idThanhToan": "…", "paymentUrl": "https://sandbox.&lt;cong-thanh-toan&gt;/…", "thoiGianHetHan": "2026-10-25T03:15:00Z"}}</t>
        </is>
      </c>
      <c r="E9" s="25" t="inlineStr">
        <is>
          <t>MaYeuCau unique; returnUrl phải thuộc whitelist</t>
        </is>
      </c>
    </row>
    <row r="10">
      <c r="A10" s="26" t="inlineStr">
        <is>
          <t>SPA-API-097</t>
        </is>
      </c>
      <c r="B10" s="27" t="inlineStr">
        <is>
          <t>Xác nhận hoàn thành</t>
        </is>
      </c>
      <c r="C10" s="27" t="inlineStr">
        <is>
          <t>POST /api/v1/appointments/a91e…/complete
{"ketQua": "Da giảm dầu, còn 2 nốt mụn viêm vùng cằm"}</t>
        </is>
      </c>
      <c r="D10" s="27" t="inlineStr">
        <is>
          <t>{"success": true, "data": {"trangThai": "HoanThanh", "tienDoGoi": {"soBuoiDaDung": 4, "tongSoBuoi": 10}}}</t>
        </is>
      </c>
      <c r="E10" s="27" t="inlineStr">
        <is>
          <t>Chỉ nhân viên được phân công</t>
        </is>
      </c>
    </row>
    <row r="11">
      <c r="A11" s="24" t="inlineStr">
        <is>
          <t>SPA-API-106</t>
        </is>
      </c>
      <c r="B11" s="25" t="inlineStr">
        <is>
          <t>Hỏi trợ lý AI</t>
        </is>
      </c>
      <c r="C11" s="25" t="inlineStr">
        <is>
          <t>POST /api/v1/ai/chat
{"cauHoi": "Da mình dầu, hay nổi mụn ẩn, nên làm gói nào?"}</t>
        </is>
      </c>
      <c r="D11" s="25" t="inlineStr">
        <is>
          <t>{
  "success": true,
  "data": {
    "cauTraLoi": "Với da dầu và mụn ẩn, bạn có thể tham khảo… (Lưu ý: đây là tư vấn dịch vụ, không thay thế chẩn đoán của bác sĩ da liễu.)",
    "goiY": [{"loai": "Goi", "id": "9a1f…", "ten": "Liệu trình trị mụn 10 buổi", "link": "/packages/9a1f…"}]
  }
}</t>
        </is>
      </c>
      <c r="E11" s="25" t="inlineStr">
        <is>
          <t>goiY chỉ chứa sản phẩm có thật đang DangBan</t>
        </is>
      </c>
    </row>
    <row r="12">
      <c r="A12" s="26" t="inlineStr">
        <is>
          <t>SPA-API-107</t>
        </is>
      </c>
      <c r="B12" s="27" t="inlineStr">
        <is>
          <t>Báo cáo doanh thu theo quý</t>
        </is>
      </c>
      <c r="C12" s="27" t="inlineStr">
        <is>
          <t>GET /api/v1/reports/revenue?tuNgay=2026-01-01&amp;denNgay=2026-12-31&amp;nhomTheo=quy</t>
        </is>
      </c>
      <c r="D12" s="27" t="inlineStr">
        <is>
          <t>{"success": true, "data": {"tong": 0, "ky": [{"nhan": "Q1/2026", "doanhThu": 120500000, "soDon": 87}, …]}}</t>
        </is>
      </c>
      <c r="E12" s="27" t="inlineStr">
        <is>
          <t>Tính theo ThoiGianThanhToan giờ VN</t>
        </is>
      </c>
    </row>
    <row r="13">
      <c r="A13" s="24" t="inlineStr">
        <is>
          <t>—</t>
        </is>
      </c>
      <c r="B13" s="25" t="inlineStr">
        <is>
          <t>Lỗi nghiệp vụ (envelope chung)</t>
        </is>
      </c>
      <c r="C13" s="25" t="inlineStr">
        <is>
          <t>—</t>
        </is>
      </c>
      <c r="D13" s="25" t="inlineStr">
        <is>
          <t>{
  "success": false,
  "message": "Khung giờ đã có người đặt, vui lòng chọn giờ khác",
  "data": null,
  "errors": [{"code": "SLOT_UNAVAILABLE", "field": "gioBatDau", "message": "…"}],
  "traceId": "00-4bf9…"
}</t>
        </is>
      </c>
      <c r="E13" s="25" t="inlineStr">
        <is>
          <t>Khớp exception middleware đã có trong foundation</t>
        </is>
      </c>
    </row>
  </sheetData>
  <autoFilter ref="A4:E13"/>
  <mergeCells count="3">
    <mergeCell ref="A2:E2"/>
    <mergeCell ref="A1:E1"/>
    <mergeCell ref="A3:E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9"/>
  <sheetViews>
    <sheetView zoomScale="90" workbookViewId="0">
      <pane ySplit="4" topLeftCell="A5" activePane="bottomLeft" state="frozen"/>
      <selection pane="bottomLeft" activeCell="A1" sqref="A1"/>
    </sheetView>
  </sheetViews>
  <sheetFormatPr baseColWidth="8" defaultRowHeight="15"/>
  <cols>
    <col width="22" customWidth="1" min="1" max="1"/>
    <col width="40" customWidth="1" min="2" max="2"/>
    <col width="40" customWidth="1" min="3" max="3"/>
    <col width="50" customWidth="1" min="4" max="4"/>
    <col width="12" customWidth="1" min="5" max="5"/>
    <col width="46" customWidth="1" min="6" max="6"/>
  </cols>
  <sheetData>
    <row r="1" ht="26" customHeight="1">
      <c r="A1" s="1" t="inlineStr">
        <is>
          <t>14 · DỮ LIỆU / TOOL CHO TRỢ LÝ AI</t>
        </is>
      </c>
    </row>
    <row r="2">
      <c r="A2" s="2" t="inlineStr">
        <is>
          <t>UC-SPA-32 bước 4 'chuẩn bị thông tin dịch vụ liên quan' · BR-AI-01..04</t>
        </is>
      </c>
    </row>
    <row r="3" ht="30" customHeight="1">
      <c r="A3" s="3" t="inlineStr">
        <is>
          <t>Đề xuất: backend tự truy vấn dữ liệu (hoặc định nghĩa tool cho LLM); IdKhachHang luôn lấy từ JWT.</t>
        </is>
      </c>
    </row>
    <row r="4" ht="32" customHeight="1">
      <c r="A4" s="4" t="inlineStr">
        <is>
          <t>Tool</t>
        </is>
      </c>
      <c r="B4" s="4" t="inlineStr">
        <is>
          <t>Mục đích</t>
        </is>
      </c>
      <c r="C4" s="4" t="inlineStr">
        <is>
          <t>Tham số</t>
        </is>
      </c>
      <c r="D4" s="4" t="inlineStr">
        <is>
          <t>Kết quả</t>
        </is>
      </c>
      <c r="E4" s="4" t="inlineStr">
        <is>
          <t>Ai dùng</t>
        </is>
      </c>
      <c r="F4" s="4" t="inlineStr">
        <is>
          <t>Bảng</t>
        </is>
      </c>
    </row>
    <row r="5">
      <c r="A5" s="25" t="inlineStr">
        <is>
          <t>tim_dich_vu</t>
        </is>
      </c>
      <c r="B5" s="25" t="inlineStr">
        <is>
          <t>Tìm dịch vụ/gói đang bán theo nhu cầu, ngân sách</t>
        </is>
      </c>
      <c r="C5" s="25" t="inlineStr">
        <is>
          <t>{tuKhoa, loai?: DichVu|Goi, giaToiDa?}</t>
        </is>
      </c>
      <c r="D5" s="25" t="inlineStr">
        <is>
          <t>≤ 5 sản phẩm {id, ten, gia, thoiLuong|tongSoBuoi, moTaNgan}</t>
        </is>
      </c>
      <c r="E5" s="25" t="inlineStr">
        <is>
          <t>GUEST, CUS</t>
        </is>
      </c>
      <c r="F5" s="25" t="inlineStr">
        <is>
          <t>DichVu, GoiDichVu, GoiDichVuChiTiet</t>
        </is>
      </c>
    </row>
    <row r="6">
      <c r="A6" s="27" t="inlineStr">
        <is>
          <t>chi_tiet_san_pham</t>
        </is>
      </c>
      <c r="B6" s="27" t="inlineStr">
        <is>
          <t>Chi tiết dịch vụ/gói</t>
        </is>
      </c>
      <c r="C6" s="27" t="inlineStr">
        <is>
          <t>{loai, id}</t>
        </is>
      </c>
      <c r="D6" s="27" t="inlineStr">
        <is>
          <t>Mô tả, giá, dịch vụ thành phần, đánh giá TB</t>
        </is>
      </c>
      <c r="E6" s="27" t="inlineStr">
        <is>
          <t>GUEST, CUS</t>
        </is>
      </c>
      <c r="F6" s="27" t="inlineStr">
        <is>
          <t>DichVu, GoiDichVu, DanhGia</t>
        </is>
      </c>
    </row>
    <row r="7">
      <c r="A7" s="25" t="inlineStr">
        <is>
          <t>tim_gio_trong</t>
        </is>
      </c>
      <c r="B7" s="25" t="inlineStr">
        <is>
          <t>Giờ trống cho dịch vụ trong ngày</t>
        </is>
      </c>
      <c r="C7" s="25" t="inlineStr">
        <is>
          <t>{idDichVu, ngay}</t>
        </is>
      </c>
      <c r="D7" s="25" t="inlineStr">
        <is>
          <t>Dùng lại SPA-API-051</t>
        </is>
      </c>
      <c r="E7" s="25" t="inlineStr">
        <is>
          <t>GUEST, CUS</t>
        </is>
      </c>
      <c r="F7" s="25" t="inlineStr">
        <is>
          <t>LichLamViec, LichHen, NhanVien_DichVu</t>
        </is>
      </c>
    </row>
    <row r="8">
      <c r="A8" s="27" t="inlineStr">
        <is>
          <t>lich_hen_cua_toi</t>
        </is>
      </c>
      <c r="B8" s="27" t="inlineStr">
        <is>
          <t>Lịch hẹn sắp tới của khách</t>
        </is>
      </c>
      <c r="C8" s="27" t="inlineStr">
        <is>
          <t>{} — IdKhachHang lấy từ JWT</t>
        </is>
      </c>
      <c r="D8" s="27" t="inlineStr">
        <is>
          <t>LichHenListItemDto[]</t>
        </is>
      </c>
      <c r="E8" s="27" t="inlineStr">
        <is>
          <t>CUS</t>
        </is>
      </c>
      <c r="F8" s="27" t="inlineStr">
        <is>
          <t>LichHen</t>
        </is>
      </c>
    </row>
    <row r="9">
      <c r="A9" s="25" t="inlineStr">
        <is>
          <t>so_buoi_con_lai</t>
        </is>
      </c>
      <c r="B9" s="25" t="inlineStr">
        <is>
          <t>Số buổi còn lại, hạn dùng các gói</t>
        </is>
      </c>
      <c r="C9" s="25" t="inlineStr">
        <is>
          <t>{} — IdKhachHang lấy từ JWT</t>
        </is>
      </c>
      <c r="D9" s="25" t="inlineStr">
        <is>
          <t>GoiKhachHangDto[]</t>
        </is>
      </c>
      <c r="E9" s="25" t="inlineStr">
        <is>
          <t>CUS</t>
        </is>
      </c>
      <c r="F9" s="25" t="inlineStr">
        <is>
          <t>GoiKhachHang, LieuTrinh</t>
        </is>
      </c>
    </row>
  </sheetData>
  <autoFilter ref="A4:F9"/>
  <mergeCells count="3">
    <mergeCell ref="A3:F3"/>
    <mergeCell ref="A2:F2"/>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38"/>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6" customWidth="1" min="2" max="2"/>
    <col width="22" customWidth="1" min="3" max="3"/>
    <col width="10" customWidth="1" min="4" max="4"/>
    <col width="8" customWidth="1" min="5" max="5"/>
    <col width="30" customWidth="1" min="6" max="6"/>
    <col width="50" customWidth="1" min="7" max="7"/>
    <col width="8" customWidth="1" min="8" max="8"/>
    <col width="60" customWidth="1" min="9" max="9"/>
    <col width="22" customWidth="1" min="10" max="10"/>
    <col width="50" customWidth="1" min="11" max="11"/>
    <col width="9" customWidth="1" min="12" max="12"/>
  </cols>
  <sheetData>
    <row r="1" ht="26" customHeight="1">
      <c r="A1" s="1" t="inlineStr">
        <is>
          <t>15 · TRUY VẾT USE CASE → MÀN HÌNH → API → BẢNG</t>
        </is>
      </c>
    </row>
    <row r="2">
      <c r="A2" s="2" t="inlineStr">
        <is>
          <t>Sinh tự động từ 11_Man_hinh, 12_API_Endpoints, 17_DB_Bang</t>
        </is>
      </c>
    </row>
    <row r="3" ht="30" customHeight="1">
      <c r="A3" s="3" t="inlineStr">
        <is>
          <t>Độ phủ = Đủ khi UC có ít nhất 1 màn hình và 1 API.</t>
        </is>
      </c>
    </row>
    <row r="4" ht="32" customHeight="1">
      <c r="A4" s="4" t="inlineStr">
        <is>
          <t>Mã UC</t>
        </is>
      </c>
      <c r="B4" s="4" t="inlineStr">
        <is>
          <t>Tên UC</t>
        </is>
      </c>
      <c r="C4" s="4" t="inlineStr">
        <is>
          <t>Nghiệp vụ</t>
        </is>
      </c>
      <c r="D4" s="4" t="inlineStr">
        <is>
          <t>Sprint</t>
        </is>
      </c>
      <c r="E4" s="4" t="inlineStr">
        <is>
          <t>Ưu tiên</t>
        </is>
      </c>
      <c r="F4" s="4" t="inlineStr">
        <is>
          <t>Màn hình</t>
        </is>
      </c>
      <c r="G4" s="4" t="inlineStr">
        <is>
          <t>Route FE</t>
        </is>
      </c>
      <c r="H4" s="4" t="inlineStr">
        <is>
          <t>Số API</t>
        </is>
      </c>
      <c r="I4" s="4" t="inlineStr">
        <is>
          <t>API IDs</t>
        </is>
      </c>
      <c r="J4" s="4" t="inlineStr">
        <is>
          <t>Bảng chính</t>
        </is>
      </c>
      <c r="K4" s="4" t="inlineStr">
        <is>
          <t>Bảng liên quan</t>
        </is>
      </c>
      <c r="L4" s="4" t="inlineStr">
        <is>
          <t>Độ phủ</t>
        </is>
      </c>
    </row>
    <row r="5">
      <c r="A5" s="24" t="inlineStr">
        <is>
          <t>UC-SPA-01</t>
        </is>
      </c>
      <c r="B5" s="25" t="inlineStr">
        <is>
          <t>Đăng ký tài khoản</t>
        </is>
      </c>
      <c r="C5" s="25" t="inlineStr">
        <is>
          <t>Tài khoản &amp; xác thực</t>
        </is>
      </c>
      <c r="D5" s="24" t="inlineStr">
        <is>
          <t>Sprint 1</t>
        </is>
      </c>
      <c r="E5" s="24" t="inlineStr">
        <is>
          <t>P0</t>
        </is>
      </c>
      <c r="F5" s="25" t="inlineStr">
        <is>
          <t>SCR-M07, SCR-W08</t>
        </is>
      </c>
      <c r="G5" s="25" t="inlineStr">
        <is>
          <t>app/(public)/register.tsx; /register</t>
        </is>
      </c>
      <c r="H5" s="24" t="n">
        <v>2</v>
      </c>
      <c r="I5" s="25" t="inlineStr">
        <is>
          <t>SPA-API-001, SPA-API-002</t>
        </is>
      </c>
      <c r="J5" s="25" t="inlineStr">
        <is>
          <t>NguoiDung</t>
        </is>
      </c>
      <c r="K5" s="25" t="inlineStr">
        <is>
          <t>KhachHang, MaOtp</t>
        </is>
      </c>
      <c r="L5" s="24" t="inlineStr">
        <is>
          <t>Đủ</t>
        </is>
      </c>
    </row>
    <row r="6">
      <c r="A6" s="26" t="inlineStr">
        <is>
          <t>UC-SPA-02</t>
        </is>
      </c>
      <c r="B6" s="27" t="inlineStr">
        <is>
          <t>Đăng nhập</t>
        </is>
      </c>
      <c r="C6" s="27" t="inlineStr">
        <is>
          <t>Tài khoản &amp; xác thực</t>
        </is>
      </c>
      <c r="D6" s="26" t="inlineStr">
        <is>
          <t>Sprint 1</t>
        </is>
      </c>
      <c r="E6" s="26" t="inlineStr">
        <is>
          <t>P0</t>
        </is>
      </c>
      <c r="F6" s="27" t="inlineStr">
        <is>
          <t>SCR-M06, SCR-M15, SCR-W07, SCR-W22</t>
        </is>
      </c>
      <c r="G6" s="27" t="inlineStr">
        <is>
          <t>app/(public)/login.tsx; app/(customer)/profile.tsx; /login; /account (staff, owner: dùng chung)</t>
        </is>
      </c>
      <c r="H6" s="26" t="n">
        <v>3</v>
      </c>
      <c r="I6" s="27" t="inlineStr">
        <is>
          <t>SPA-API-003, SPA-API-004, SPA-API-005</t>
        </is>
      </c>
      <c r="J6" s="27" t="inlineStr">
        <is>
          <t>NguoiDung</t>
        </is>
      </c>
      <c r="K6" s="27" t="inlineStr">
        <is>
          <t>RefreshToken</t>
        </is>
      </c>
      <c r="L6" s="26" t="inlineStr">
        <is>
          <t>Đủ</t>
        </is>
      </c>
    </row>
    <row r="7">
      <c r="A7" s="24" t="inlineStr">
        <is>
          <t>UC-SPA-03</t>
        </is>
      </c>
      <c r="B7" s="25" t="inlineStr">
        <is>
          <t>Quên mật khẩu</t>
        </is>
      </c>
      <c r="C7" s="25" t="inlineStr">
        <is>
          <t>Tài khoản &amp; xác thực</t>
        </is>
      </c>
      <c r="D7" s="24" t="inlineStr">
        <is>
          <t>Sprint 1</t>
        </is>
      </c>
      <c r="E7" s="24" t="inlineStr">
        <is>
          <t>P1</t>
        </is>
      </c>
      <c r="F7" s="25" t="inlineStr">
        <is>
          <t>SCR-M08, SCR-W09</t>
        </is>
      </c>
      <c r="G7" s="25" t="inlineStr">
        <is>
          <t>app/(public)/forgot-password.tsx; /forgot-password</t>
        </is>
      </c>
      <c r="H7" s="24" t="n">
        <v>3</v>
      </c>
      <c r="I7" s="25" t="inlineStr">
        <is>
          <t>SPA-API-006, SPA-API-007, SPA-API-008</t>
        </is>
      </c>
      <c r="J7" s="25" t="inlineStr">
        <is>
          <t>NguoiDung</t>
        </is>
      </c>
      <c r="K7" s="25" t="inlineStr">
        <is>
          <t>MaOtp, RefreshToken</t>
        </is>
      </c>
      <c r="L7" s="24" t="inlineStr">
        <is>
          <t>Đủ</t>
        </is>
      </c>
    </row>
    <row r="8">
      <c r="A8" s="26" t="inlineStr">
        <is>
          <t>UC-SPA-04</t>
        </is>
      </c>
      <c r="B8" s="27" t="inlineStr">
        <is>
          <t>Cập nhật thông tin tài khoản</t>
        </is>
      </c>
      <c r="C8" s="27" t="inlineStr">
        <is>
          <t>Tài khoản &amp; xác thực</t>
        </is>
      </c>
      <c r="D8" s="26" t="inlineStr">
        <is>
          <t>Sprint 1</t>
        </is>
      </c>
      <c r="E8" s="26" t="inlineStr">
        <is>
          <t>P1</t>
        </is>
      </c>
      <c r="F8" s="27" t="inlineStr">
        <is>
          <t>SCR-M15, SCR-W22</t>
        </is>
      </c>
      <c r="G8" s="27" t="inlineStr">
        <is>
          <t>app/(customer)/profile.tsx; /account (staff, owner: dùng chung)</t>
        </is>
      </c>
      <c r="H8" s="26" t="n">
        <v>4</v>
      </c>
      <c r="I8" s="27" t="inlineStr">
        <is>
          <t>SPA-API-009, SPA-API-010, SPA-API-011, SPA-API-012</t>
        </is>
      </c>
      <c r="J8" s="27" t="inlineStr">
        <is>
          <t>NguoiDung</t>
        </is>
      </c>
      <c r="K8" s="27" t="inlineStr">
        <is>
          <t>KhachHang, NhanVien, ChuSpa</t>
        </is>
      </c>
      <c r="L8" s="26" t="inlineStr">
        <is>
          <t>Đủ</t>
        </is>
      </c>
    </row>
    <row r="9">
      <c r="A9" s="24" t="inlineStr">
        <is>
          <t>UC-SPA-05</t>
        </is>
      </c>
      <c r="B9" s="25" t="inlineStr">
        <is>
          <t>Quản lý tài khoản người dùng</t>
        </is>
      </c>
      <c r="C9" s="25" t="inlineStr">
        <is>
          <t>Tài khoản &amp; xác thực</t>
        </is>
      </c>
      <c r="D9" s="24" t="inlineStr">
        <is>
          <t>Sprint 2</t>
        </is>
      </c>
      <c r="E9" s="24" t="inlineStr">
        <is>
          <t>P1</t>
        </is>
      </c>
      <c r="F9" s="25" t="inlineStr">
        <is>
          <t>SCR-W40</t>
        </is>
      </c>
      <c r="G9" s="25" t="inlineStr">
        <is>
          <t>/owner/accounts</t>
        </is>
      </c>
      <c r="H9" s="24" t="n">
        <v>4</v>
      </c>
      <c r="I9" s="25" t="inlineStr">
        <is>
          <t>SPA-API-013, SPA-API-014, SPA-API-015, SPA-API-016</t>
        </is>
      </c>
      <c r="J9" s="25" t="inlineStr">
        <is>
          <t>NguoiDung</t>
        </is>
      </c>
      <c r="K9" s="25" t="inlineStr">
        <is>
          <t>KhachHang, NhanVien, RefreshToken</t>
        </is>
      </c>
      <c r="L9" s="24" t="inlineStr">
        <is>
          <t>Đủ</t>
        </is>
      </c>
    </row>
    <row r="10">
      <c r="A10" s="26" t="inlineStr">
        <is>
          <t>UC-SPA-06</t>
        </is>
      </c>
      <c r="B10" s="27" t="inlineStr">
        <is>
          <t>Tìm kiếm dịch vụ và gói dịch vụ</t>
        </is>
      </c>
      <c r="C10" s="27" t="inlineStr">
        <is>
          <t>Dịch vụ &amp; gói dịch vụ</t>
        </is>
      </c>
      <c r="D10" s="26" t="inlineStr">
        <is>
          <t>Sprint 1</t>
        </is>
      </c>
      <c r="E10" s="26" t="inlineStr">
        <is>
          <t>P0</t>
        </is>
      </c>
      <c r="F10" s="27" t="inlineStr">
        <is>
          <t>SCR-M01, SCR-M02, SCR-M04, SCR-M29, SCR-W01, SCR-W02, SCR-W04, SCR-W31, SCR-W32</t>
        </is>
      </c>
      <c r="G10" s="27" t="inlineStr">
        <is>
          <t>app/index.tsx; app/(public)/services/index.tsx; app/(public)/packages/index.tsx; app/(owner)/services.tsx; /; /services; /packages; /owner/services; /owner/packages</t>
        </is>
      </c>
      <c r="H10" s="26" t="n">
        <v>4</v>
      </c>
      <c r="I10" s="27" t="inlineStr">
        <is>
          <t>SPA-API-017, SPA-API-019, SPA-API-021, SPA-API-022</t>
        </is>
      </c>
      <c r="J10" s="27" t="inlineStr">
        <is>
          <t>DichVu</t>
        </is>
      </c>
      <c r="K10" s="27" t="inlineStr">
        <is>
          <t>GoiDichVu, GoiDichVuChiTiet, DichVuKhachHang, GoiKhachHang</t>
        </is>
      </c>
      <c r="L10" s="26" t="inlineStr">
        <is>
          <t>Đủ</t>
        </is>
      </c>
    </row>
    <row r="11">
      <c r="A11" s="24" t="inlineStr">
        <is>
          <t>UC-SPA-07</t>
        </is>
      </c>
      <c r="B11" s="25" t="inlineStr">
        <is>
          <t>Xem chi tiết dịch vụ, gói dịch vụ</t>
        </is>
      </c>
      <c r="C11" s="25" t="inlineStr">
        <is>
          <t>Dịch vụ &amp; gói dịch vụ</t>
        </is>
      </c>
      <c r="D11" s="24" t="inlineStr">
        <is>
          <t>Sprint 1</t>
        </is>
      </c>
      <c r="E11" s="24" t="inlineStr">
        <is>
          <t>P0</t>
        </is>
      </c>
      <c r="F11" s="25" t="inlineStr">
        <is>
          <t>SCR-M03, SCR-M05, SCR-W03, SCR-W05</t>
        </is>
      </c>
      <c r="G11" s="25" t="inlineStr">
        <is>
          <t>app/(public)/services/[serviceId].tsx; app/(public)/packages/[packageId].tsx; /services/:serviceId; /packages/:packageId</t>
        </is>
      </c>
      <c r="H11" s="24" t="n">
        <v>2</v>
      </c>
      <c r="I11" s="25" t="inlineStr">
        <is>
          <t>SPA-API-018, SPA-API-020</t>
        </is>
      </c>
      <c r="J11" s="25" t="inlineStr">
        <is>
          <t>DichVu</t>
        </is>
      </c>
      <c r="K11" s="25" t="inlineStr">
        <is>
          <t>GoiDichVu, GoiDichVuChiTiet, DanhGia</t>
        </is>
      </c>
      <c r="L11" s="24" t="inlineStr">
        <is>
          <t>Đủ</t>
        </is>
      </c>
    </row>
    <row r="12">
      <c r="A12" s="26" t="inlineStr">
        <is>
          <t>UC-SPA-08</t>
        </is>
      </c>
      <c r="B12" s="27" t="inlineStr">
        <is>
          <t>Xem thông tin giới thiệu về spa</t>
        </is>
      </c>
      <c r="C12" s="27" t="inlineStr">
        <is>
          <t>Dịch vụ &amp; gói dịch vụ</t>
        </is>
      </c>
      <c r="D12" s="26" t="inlineStr">
        <is>
          <t>Sprint 1</t>
        </is>
      </c>
      <c r="E12" s="26" t="inlineStr">
        <is>
          <t>P2</t>
        </is>
      </c>
      <c r="F12" s="27" t="inlineStr">
        <is>
          <t>SCR-M09, SCR-W06</t>
        </is>
      </c>
      <c r="G12" s="27" t="inlineStr">
        <is>
          <t>app/(public)/about.tsx; /about</t>
        </is>
      </c>
      <c r="H12" s="26" t="n">
        <v>1</v>
      </c>
      <c r="I12" s="27" t="inlineStr">
        <is>
          <t>SPA-API-023</t>
        </is>
      </c>
      <c r="J12" s="27" t="inlineStr">
        <is>
          <t>ThongTinSpa</t>
        </is>
      </c>
      <c r="K12" s="27" t="inlineStr"/>
      <c r="L12" s="26" t="inlineStr">
        <is>
          <t>Đủ</t>
        </is>
      </c>
    </row>
    <row r="13">
      <c r="A13" s="24" t="inlineStr">
        <is>
          <t>UC-SPA-09</t>
        </is>
      </c>
      <c r="B13" s="25" t="inlineStr">
        <is>
          <t>Quản lý dịch vụ và gói dịch vụ</t>
        </is>
      </c>
      <c r="C13" s="25" t="inlineStr">
        <is>
          <t>Dịch vụ &amp; gói dịch vụ</t>
        </is>
      </c>
      <c r="D13" s="24" t="inlineStr">
        <is>
          <t>Sprint 1</t>
        </is>
      </c>
      <c r="E13" s="24" t="inlineStr">
        <is>
          <t>P0</t>
        </is>
      </c>
      <c r="F13" s="25" t="inlineStr">
        <is>
          <t>SCR-M01, SCR-M02, SCR-M04, SCR-M29, SCR-W01, SCR-W02, SCR-W04, SCR-W31, SCR-W32</t>
        </is>
      </c>
      <c r="G13" s="25" t="inlineStr">
        <is>
          <t>app/index.tsx; app/(public)/services/index.tsx; app/(public)/packages/index.tsx; app/(owner)/services.tsx; /; /services; /packages; /owner/services; /owner/packages</t>
        </is>
      </c>
      <c r="H13" s="24" t="n">
        <v>9</v>
      </c>
      <c r="I13" s="25" t="inlineStr">
        <is>
          <t>SPA-API-017, SPA-API-019, SPA-API-024, SPA-API-025, SPA-API-026, SPA-API-027, SPA-API-028, SPA-API-029, SPA-API-030</t>
        </is>
      </c>
      <c r="J13" s="25" t="inlineStr">
        <is>
          <t>DichVu</t>
        </is>
      </c>
      <c r="K13" s="25" t="inlineStr">
        <is>
          <t>GoiDichVu, GoiDichVuChiTiet</t>
        </is>
      </c>
      <c r="L13" s="24" t="inlineStr">
        <is>
          <t>Đủ</t>
        </is>
      </c>
    </row>
    <row r="14">
      <c r="A14" s="26" t="inlineStr">
        <is>
          <t>UC-SPA-10</t>
        </is>
      </c>
      <c r="B14" s="27" t="inlineStr">
        <is>
          <t>Quản lý giỏ hàng</t>
        </is>
      </c>
      <c r="C14" s="27" t="inlineStr">
        <is>
          <t>Giỏ hàng, đơn hàng &amp; thanh toán</t>
        </is>
      </c>
      <c r="D14" s="26" t="inlineStr">
        <is>
          <t>Sprint 2</t>
        </is>
      </c>
      <c r="E14" s="26" t="inlineStr">
        <is>
          <t>P1</t>
        </is>
      </c>
      <c r="F14" s="27" t="inlineStr">
        <is>
          <t>SCR-M02, SCR-M03, SCR-M05, SCR-M19, SCR-W02, SCR-W03, SCR-W04, SCR-W05, SCR-W10</t>
        </is>
      </c>
      <c r="G14" s="27" t="inlineStr">
        <is>
          <t>app/(public)/services/index.tsx; app/(public)/services/[serviceId].tsx; app/(public)/packages/[packageId].tsx; app/(customer)/cart.tsx, checkout.tsx; /services; /services/:serviceId; /packages; /packages/:packageId; /cart</t>
        </is>
      </c>
      <c r="H14" s="26" t="n">
        <v>3</v>
      </c>
      <c r="I14" s="27" t="inlineStr">
        <is>
          <t>SPA-API-031, SPA-API-032, SPA-API-033</t>
        </is>
      </c>
      <c r="J14" s="27" t="inlineStr">
        <is>
          <t>ChiTietGioHang</t>
        </is>
      </c>
      <c r="K14" s="27" t="inlineStr">
        <is>
          <t>GioHang, DichVu, GoiDichVu</t>
        </is>
      </c>
      <c r="L14" s="26" t="inlineStr">
        <is>
          <t>Đủ</t>
        </is>
      </c>
    </row>
    <row r="15">
      <c r="A15" s="24" t="inlineStr">
        <is>
          <t>UC-SPA-11</t>
        </is>
      </c>
      <c r="B15" s="25" t="inlineStr">
        <is>
          <t>Thanh toán trực tuyến</t>
        </is>
      </c>
      <c r="C15" s="25" t="inlineStr">
        <is>
          <t>Giỏ hàng, đơn hàng &amp; thanh toán</t>
        </is>
      </c>
      <c r="D15" s="24" t="inlineStr">
        <is>
          <t>Sprint 2</t>
        </is>
      </c>
      <c r="E15" s="24" t="inlineStr">
        <is>
          <t>P0</t>
        </is>
      </c>
      <c r="F15" s="25" t="inlineStr">
        <is>
          <t>SCR-M19, SCR-M20, SCR-W11, SCR-W12, SCR-W19</t>
        </is>
      </c>
      <c r="G15" s="25" t="inlineStr">
        <is>
          <t>app/(customer)/cart.tsx, checkout.tsx; app/(customer)/orders/index.tsx, [orderId].tsx; /checkout?orderId=; /payment/result; /my-orders, /my-orders/:orderId</t>
        </is>
      </c>
      <c r="H15" s="24" t="n">
        <v>7</v>
      </c>
      <c r="I15" s="25" t="inlineStr">
        <is>
          <t>SPA-API-034, SPA-API-035, SPA-API-036, SPA-API-037, SPA-API-038, SPA-API-039, SPA-API-041</t>
        </is>
      </c>
      <c r="J15" s="25" t="inlineStr">
        <is>
          <t>ThanhToan</t>
        </is>
      </c>
      <c r="K15" s="25" t="inlineStr">
        <is>
          <t>DonHang, ChiTietDonHang, KhuyenMai, ApDungKhuyenMai, DichVuKhachHang, GoiKhachHang, LieuTrinh, BuoiChamSoc, LichHen, ChiTietGioHang</t>
        </is>
      </c>
      <c r="L15" s="24" t="inlineStr">
        <is>
          <t>Đủ</t>
        </is>
      </c>
    </row>
    <row r="16">
      <c r="A16" s="26" t="inlineStr">
        <is>
          <t>UC-SPA-12</t>
        </is>
      </c>
      <c r="B16" s="27" t="inlineStr">
        <is>
          <t>Quản lý đơn hàng đã mua</t>
        </is>
      </c>
      <c r="C16" s="27" t="inlineStr">
        <is>
          <t>Giỏ hàng, đơn hàng &amp; thanh toán</t>
        </is>
      </c>
      <c r="D16" s="26" t="inlineStr">
        <is>
          <t>Sprint 2</t>
        </is>
      </c>
      <c r="E16" s="26" t="inlineStr">
        <is>
          <t>P1</t>
        </is>
      </c>
      <c r="F16" s="27" t="inlineStr">
        <is>
          <t>SCR-M19, SCR-M20, SCR-W11, SCR-W12, SCR-W19</t>
        </is>
      </c>
      <c r="G16" s="27" t="inlineStr">
        <is>
          <t>app/(customer)/cart.tsx, checkout.tsx; app/(customer)/orders/index.tsx, [orderId].tsx; /checkout?orderId=; /payment/result; /my-orders, /my-orders/:orderId</t>
        </is>
      </c>
      <c r="H16" s="26" t="n">
        <v>4</v>
      </c>
      <c r="I16" s="27" t="inlineStr">
        <is>
          <t>SPA-API-037, SPA-API-040, SPA-API-041, SPA-API-042</t>
        </is>
      </c>
      <c r="J16" s="27" t="inlineStr">
        <is>
          <t>DonHang</t>
        </is>
      </c>
      <c r="K16" s="27" t="inlineStr">
        <is>
          <t>ChiTietDonHang, ThanhToan, LichHen</t>
        </is>
      </c>
      <c r="L16" s="26" t="inlineStr">
        <is>
          <t>Đủ</t>
        </is>
      </c>
    </row>
    <row r="17">
      <c r="A17" s="24" t="inlineStr">
        <is>
          <t>UC-SPA-13</t>
        </is>
      </c>
      <c r="B17" s="25" t="inlineStr">
        <is>
          <t>Quản lý đơn hàng</t>
        </is>
      </c>
      <c r="C17" s="25" t="inlineStr">
        <is>
          <t>Giỏ hàng, đơn hàng &amp; thanh toán</t>
        </is>
      </c>
      <c r="D17" s="24" t="inlineStr">
        <is>
          <t>Sprint 2</t>
        </is>
      </c>
      <c r="E17" s="24" t="inlineStr">
        <is>
          <t>P1</t>
        </is>
      </c>
      <c r="F17" s="25" t="inlineStr">
        <is>
          <t>SCR-W37</t>
        </is>
      </c>
      <c r="G17" s="25" t="inlineStr">
        <is>
          <t>/owner/orders (repo hiện là /owner/payments)</t>
        </is>
      </c>
      <c r="H17" s="24" t="n">
        <v>3</v>
      </c>
      <c r="I17" s="25" t="inlineStr">
        <is>
          <t>SPA-API-043, SPA-API-044, SPA-API-045</t>
        </is>
      </c>
      <c r="J17" s="25" t="inlineStr">
        <is>
          <t>DonHang</t>
        </is>
      </c>
      <c r="K17" s="25" t="inlineStr">
        <is>
          <t>ChiTietDonHang, ThanhToan, LichHen</t>
        </is>
      </c>
      <c r="L17" s="24" t="inlineStr">
        <is>
          <t>Đủ</t>
        </is>
      </c>
    </row>
    <row r="18">
      <c r="A18" s="26" t="inlineStr">
        <is>
          <t>UC-SPA-14</t>
        </is>
      </c>
      <c r="B18" s="27" t="inlineStr">
        <is>
          <t>Quản lý chương trình khuyến mãi</t>
        </is>
      </c>
      <c r="C18" s="27" t="inlineStr">
        <is>
          <t>Khuyến mãi</t>
        </is>
      </c>
      <c r="D18" s="26" t="inlineStr">
        <is>
          <t>Sprint 2</t>
        </is>
      </c>
      <c r="E18" s="26" t="inlineStr">
        <is>
          <t>P1</t>
        </is>
      </c>
      <c r="F18" s="27" t="inlineStr">
        <is>
          <t>SCR-W35</t>
        </is>
      </c>
      <c r="G18" s="27" t="inlineStr">
        <is>
          <t>/owner/promotions</t>
        </is>
      </c>
      <c r="H18" s="26" t="n">
        <v>5</v>
      </c>
      <c r="I18" s="27" t="inlineStr">
        <is>
          <t>SPA-API-046, SPA-API-047, SPA-API-048, SPA-API-049, SPA-API-050</t>
        </is>
      </c>
      <c r="J18" s="27" t="inlineStr">
        <is>
          <t>KhuyenMai</t>
        </is>
      </c>
      <c r="K18" s="27" t="inlineStr">
        <is>
          <t>ApDungKhuyenMai</t>
        </is>
      </c>
      <c r="L18" s="26" t="inlineStr">
        <is>
          <t>Đủ</t>
        </is>
      </c>
    </row>
    <row r="19">
      <c r="A19" s="24" t="inlineStr">
        <is>
          <t>UC-SPA-15</t>
        </is>
      </c>
      <c r="B19" s="25" t="inlineStr">
        <is>
          <t>Đặt lịch hẹn</t>
        </is>
      </c>
      <c r="C19" s="25" t="inlineStr">
        <is>
          <t>Đặt lịch &amp; lịch hẹn</t>
        </is>
      </c>
      <c r="D19" s="24" t="inlineStr">
        <is>
          <t>Sprint 1</t>
        </is>
      </c>
      <c r="E19" s="24" t="inlineStr">
        <is>
          <t>P0</t>
        </is>
      </c>
      <c r="F19" s="25" t="inlineStr">
        <is>
          <t>SCR-M12, SCR-M18, SCR-M30, SCR-W13, SCR-W15, SCR-W33, SCR-W34</t>
        </is>
      </c>
      <c r="G19" s="25" t="inlineStr">
        <is>
          <t>app/(customer)/bookings/[bookingId].tsx; app/(customer)/booking/new.tsx; app/(owner)/staff.tsx; /booking/new?serviceId= | ?dichVuKhachHangId= | ?buoiChamSocId=; /my-bookings/:bookingId; /owner/staff; /owner/bookings</t>
        </is>
      </c>
      <c r="H19" s="24" t="n">
        <v>4</v>
      </c>
      <c r="I19" s="25" t="inlineStr">
        <is>
          <t>SPA-API-051, SPA-API-052, SPA-API-053, SPA-API-078</t>
        </is>
      </c>
      <c r="J19" s="25" t="inlineStr">
        <is>
          <t>LichHen</t>
        </is>
      </c>
      <c r="K19" s="25" t="inlineStr">
        <is>
          <t>LichLamViec, NhanVien_DichVu, DichVu, DonHang, ChiTietDonHang, DichVuKhachHang, BuoiChamSoc, GoiKhachHang, GoiDichVuChiTiet, ThongBao</t>
        </is>
      </c>
      <c r="L19" s="24" t="inlineStr">
        <is>
          <t>Đủ</t>
        </is>
      </c>
    </row>
    <row r="20">
      <c r="A20" s="26" t="inlineStr">
        <is>
          <t>UC-SPA-16</t>
        </is>
      </c>
      <c r="B20" s="27" t="inlineStr">
        <is>
          <t>Xem và quản lý lịch hẹn</t>
        </is>
      </c>
      <c r="C20" s="27" t="inlineStr">
        <is>
          <t>Đặt lịch &amp; lịch hẹn</t>
        </is>
      </c>
      <c r="D20" s="26" t="inlineStr">
        <is>
          <t>Sprint 2</t>
        </is>
      </c>
      <c r="E20" s="26" t="inlineStr">
        <is>
          <t>P1</t>
        </is>
      </c>
      <c r="F20" s="27" t="inlineStr">
        <is>
          <t>SCR-M10, SCR-M11, SCR-M12, SCR-M18, SCR-W13, SCR-W14, SCR-W15, SCR-W34</t>
        </is>
      </c>
      <c r="G20" s="27" t="inlineStr">
        <is>
          <t>app/(customer)/home.tsx; app/(customer)/bookings/index.tsx; app/(customer)/bookings/[bookingId].tsx; app/(customer)/booking/new.tsx; /booking/new?serviceId= | ?dichVuKhachHangId= | ?buoiChamSocId=; /my-bookings; /my-bookings/:bookingId; /owner/bookings</t>
        </is>
      </c>
      <c r="H20" s="26" t="n">
        <v>5</v>
      </c>
      <c r="I20" s="27" t="inlineStr">
        <is>
          <t>SPA-API-051, SPA-API-054, SPA-API-055, SPA-API-056, SPA-API-057</t>
        </is>
      </c>
      <c r="J20" s="27" t="inlineStr">
        <is>
          <t>LichHen</t>
        </is>
      </c>
      <c r="K20" s="27" t="inlineStr">
        <is>
          <t>LichLamViec, DichVuKhachHang, BuoiChamSoc</t>
        </is>
      </c>
      <c r="L20" s="26" t="inlineStr">
        <is>
          <t>Đủ</t>
        </is>
      </c>
    </row>
    <row r="21">
      <c r="A21" s="24" t="inlineStr">
        <is>
          <t>UC-SPA-17</t>
        </is>
      </c>
      <c r="B21" s="25" t="inlineStr">
        <is>
          <t>Quản lý lịch hẹn</t>
        </is>
      </c>
      <c r="C21" s="25" t="inlineStr">
        <is>
          <t>Đặt lịch &amp; lịch hẹn</t>
        </is>
      </c>
      <c r="D21" s="24" t="inlineStr">
        <is>
          <t>Sprint 1</t>
        </is>
      </c>
      <c r="E21" s="24" t="inlineStr">
        <is>
          <t>P0</t>
        </is>
      </c>
      <c r="F21" s="25" t="inlineStr">
        <is>
          <t>SCR-M12, SCR-M18, SCR-M26, SCR-M31, SCR-W13, SCR-W15, SCR-W27, SCR-W34</t>
        </is>
      </c>
      <c r="G21" s="25" t="inlineStr">
        <is>
          <t>app/(customer)/bookings/[bookingId].tsx; app/(customer)/booking/new.tsx; app/(staff)/bookings/[bookingId].tsx; app/(owner)/bookings.tsx; /booking/new?serviceId= | ?dichVuKhachHangId= | ?buoiChamSocId=; /my-bookings/:bookingId; /staff/bookings/:bookingId; /owner/bookings</t>
        </is>
      </c>
      <c r="H21" s="24" t="n">
        <v>8</v>
      </c>
      <c r="I21" s="25" t="inlineStr">
        <is>
          <t>SPA-API-051, SPA-API-058, SPA-API-059, SPA-API-060, SPA-API-061, SPA-API-062, SPA-API-063, SPA-API-064</t>
        </is>
      </c>
      <c r="J21" s="25" t="inlineStr">
        <is>
          <t>LichHen</t>
        </is>
      </c>
      <c r="K21" s="25" t="inlineStr">
        <is>
          <t>LichLamViec, NhanVien_DichVu, NhanVien</t>
        </is>
      </c>
      <c r="L21" s="24" t="inlineStr">
        <is>
          <t>Đủ</t>
        </is>
      </c>
    </row>
    <row r="22">
      <c r="A22" s="26" t="inlineStr">
        <is>
          <t>UC-SPA-18</t>
        </is>
      </c>
      <c r="B22" s="27" t="inlineStr">
        <is>
          <t>Xem dịch vụ và gói đã mua</t>
        </is>
      </c>
      <c r="C22" s="27" t="inlineStr">
        <is>
          <t>Quyền sử dụng &amp; liệu trình</t>
        </is>
      </c>
      <c r="D22" s="26" t="inlineStr">
        <is>
          <t>Sprint 2</t>
        </is>
      </c>
      <c r="E22" s="26" t="inlineStr">
        <is>
          <t>P0</t>
        </is>
      </c>
      <c r="F22" s="27" t="inlineStr">
        <is>
          <t>SCR-M10, SCR-M14, SCR-M18, SCR-W13, SCR-W16</t>
        </is>
      </c>
      <c r="G22" s="27" t="inlineStr">
        <is>
          <t>app/(customer)/home.tsx; app/(customer)/packages/index.tsx; app/(customer)/booking/new.tsx; /booking/new?serviceId= | ?dichVuKhachHangId= | ?buoiChamSocId=; /my-packages</t>
        </is>
      </c>
      <c r="H22" s="26" t="n">
        <v>4</v>
      </c>
      <c r="I22" s="27" t="inlineStr">
        <is>
          <t>SPA-API-053, SPA-API-065, SPA-API-066, SPA-API-067</t>
        </is>
      </c>
      <c r="J22" s="27" t="inlineStr">
        <is>
          <t>DichVuKhachHang</t>
        </is>
      </c>
      <c r="K22" s="27" t="inlineStr">
        <is>
          <t>GoiKhachHang, ChiTietDonHang, DonHang</t>
        </is>
      </c>
      <c r="L22" s="26" t="inlineStr">
        <is>
          <t>Đủ</t>
        </is>
      </c>
    </row>
    <row r="23">
      <c r="A23" s="24" t="inlineStr">
        <is>
          <t>UC-SPA-19</t>
        </is>
      </c>
      <c r="B23" s="25" t="inlineStr">
        <is>
          <t>Theo dõi liệu trình chăm sóc da</t>
        </is>
      </c>
      <c r="C23" s="25" t="inlineStr">
        <is>
          <t>Quyền sử dụng &amp; liệu trình</t>
        </is>
      </c>
      <c r="D23" s="24" t="inlineStr">
        <is>
          <t>Sprint 2</t>
        </is>
      </c>
      <c r="E23" s="24" t="inlineStr">
        <is>
          <t>P0</t>
        </is>
      </c>
      <c r="F23" s="25" t="inlineStr">
        <is>
          <t>SCR-M13, SCR-M18, SCR-W13, SCR-W17</t>
        </is>
      </c>
      <c r="G23" s="25" t="inlineStr">
        <is>
          <t>app/(customer)/treatments/index.tsx; app/(customer)/booking/new.tsx; /booking/new?serviceId= | ?dichVuKhachHangId= | ?buoiChamSocId=; /my-treatment-plans, /my-treatment-plans/:id</t>
        </is>
      </c>
      <c r="H23" s="24" t="n">
        <v>4</v>
      </c>
      <c r="I23" s="25" t="inlineStr">
        <is>
          <t>SPA-API-053, SPA-API-068, SPA-API-069, SPA-API-070</t>
        </is>
      </c>
      <c r="J23" s="25" t="inlineStr">
        <is>
          <t>LieuTrinh</t>
        </is>
      </c>
      <c r="K23" s="25" t="inlineStr">
        <is>
          <t>BuoiChamSoc, GoiKhachHang, LichHen</t>
        </is>
      </c>
      <c r="L23" s="24" t="inlineStr">
        <is>
          <t>Đủ</t>
        </is>
      </c>
    </row>
    <row r="24">
      <c r="A24" s="26" t="inlineStr">
        <is>
          <t>UC-SPA-20</t>
        </is>
      </c>
      <c r="B24" s="27" t="inlineStr">
        <is>
          <t>Xem lịch sử sử dụng dịch vụ</t>
        </is>
      </c>
      <c r="C24" s="27" t="inlineStr">
        <is>
          <t>Quyền sử dụng &amp; liệu trình</t>
        </is>
      </c>
      <c r="D24" s="26" t="inlineStr">
        <is>
          <t>Sprint 2</t>
        </is>
      </c>
      <c r="E24" s="26" t="inlineStr">
        <is>
          <t>P1</t>
        </is>
      </c>
      <c r="F24" s="27" t="inlineStr">
        <is>
          <t>SCR-M21, SCR-W18</t>
        </is>
      </c>
      <c r="G24" s="27" t="inlineStr">
        <is>
          <t>app/(customer)/history.tsx; /my-history</t>
        </is>
      </c>
      <c r="H24" s="26" t="n">
        <v>2</v>
      </c>
      <c r="I24" s="27" t="inlineStr">
        <is>
          <t>SPA-API-071, SPA-API-072</t>
        </is>
      </c>
      <c r="J24" s="27" t="inlineStr">
        <is>
          <t>LichHen</t>
        </is>
      </c>
      <c r="K24" s="27" t="inlineStr">
        <is>
          <t>DichVu, NhanVien, BuoiChamSoc</t>
        </is>
      </c>
      <c r="L24" s="26" t="inlineStr">
        <is>
          <t>Đủ</t>
        </is>
      </c>
    </row>
    <row r="25">
      <c r="A25" s="24" t="inlineStr">
        <is>
          <t>UC-SPA-21</t>
        </is>
      </c>
      <c r="B25" s="25" t="inlineStr">
        <is>
          <t>Quản lý liệu trình và lịch sử chăm sóc của khách hàng</t>
        </is>
      </c>
      <c r="C25" s="25" t="inlineStr">
        <is>
          <t>Quyền sử dụng &amp; liệu trình</t>
        </is>
      </c>
      <c r="D25" s="24" t="inlineStr">
        <is>
          <t>Sprint 2</t>
        </is>
      </c>
      <c r="E25" s="24" t="inlineStr">
        <is>
          <t>P0</t>
        </is>
      </c>
      <c r="F25" s="25" t="inlineStr">
        <is>
          <t>SCR-W28, SCR-W29, SCR-W36</t>
        </is>
      </c>
      <c r="G25" s="25" t="inlineStr">
        <is>
          <t>/staff/care-history; /staff/treatments; /owner/treatments</t>
        </is>
      </c>
      <c r="H25" s="24" t="n">
        <v>5</v>
      </c>
      <c r="I25" s="25" t="inlineStr">
        <is>
          <t>SPA-API-073, SPA-API-074, SPA-API-075, SPA-API-076, SPA-API-077</t>
        </is>
      </c>
      <c r="J25" s="25" t="inlineStr">
        <is>
          <t>LieuTrinh</t>
        </is>
      </c>
      <c r="K25" s="25" t="inlineStr">
        <is>
          <t>BuoiChamSoc, GoiKhachHang, HoSoDa, LichHen</t>
        </is>
      </c>
      <c r="L25" s="24" t="inlineStr">
        <is>
          <t>Đủ</t>
        </is>
      </c>
    </row>
    <row r="26">
      <c r="A26" s="26" t="inlineStr">
        <is>
          <t>UC-SPA-22</t>
        </is>
      </c>
      <c r="B26" s="27" t="inlineStr">
        <is>
          <t>Quản lý nhân viên</t>
        </is>
      </c>
      <c r="C26" s="27" t="inlineStr">
        <is>
          <t>Nhân viên &amp; lịch làm việc</t>
        </is>
      </c>
      <c r="D26" s="26" t="inlineStr">
        <is>
          <t>Sprint 1</t>
        </is>
      </c>
      <c r="E26" s="26" t="inlineStr">
        <is>
          <t>P0</t>
        </is>
      </c>
      <c r="F26" s="27" t="inlineStr">
        <is>
          <t>SCR-M18, SCR-M30, SCR-W13, SCR-W33</t>
        </is>
      </c>
      <c r="G26" s="27" t="inlineStr">
        <is>
          <t>app/(customer)/booking/new.tsx; app/(owner)/staff.tsx; /booking/new?serviceId= | ?dichVuKhachHangId= | ?buoiChamSocId=; /owner/staff</t>
        </is>
      </c>
      <c r="H26" s="26" t="n">
        <v>6</v>
      </c>
      <c r="I26" s="27" t="inlineStr">
        <is>
          <t>SPA-API-078, SPA-API-079, SPA-API-080, SPA-API-081, SPA-API-082, SPA-API-083</t>
        </is>
      </c>
      <c r="J26" s="27" t="inlineStr">
        <is>
          <t>NhanVien</t>
        </is>
      </c>
      <c r="K26" s="27" t="inlineStr">
        <is>
          <t>NguoiDung, NhanVien_DichVu, LichHen</t>
        </is>
      </c>
      <c r="L26" s="26" t="inlineStr">
        <is>
          <t>Đủ</t>
        </is>
      </c>
    </row>
    <row r="27">
      <c r="A27" s="24" t="inlineStr">
        <is>
          <t>UC-SPA-23</t>
        </is>
      </c>
      <c r="B27" s="25" t="inlineStr">
        <is>
          <t>Phân công lịch làm việc cho nhân viên</t>
        </is>
      </c>
      <c r="C27" s="25" t="inlineStr">
        <is>
          <t>Nhân viên &amp; lịch làm việc</t>
        </is>
      </c>
      <c r="D27" s="24" t="inlineStr">
        <is>
          <t>Sprint 1</t>
        </is>
      </c>
      <c r="E27" s="24" t="inlineStr">
        <is>
          <t>P0</t>
        </is>
      </c>
      <c r="F27" s="25" t="inlineStr">
        <is>
          <t>SCR-M30, SCR-W33</t>
        </is>
      </c>
      <c r="G27" s="25" t="inlineStr">
        <is>
          <t>app/(owner)/staff.tsx; /owner/staff</t>
        </is>
      </c>
      <c r="H27" s="24" t="n">
        <v>4</v>
      </c>
      <c r="I27" s="25" t="inlineStr">
        <is>
          <t>SPA-API-084, SPA-API-085, SPA-API-086, SPA-API-087</t>
        </is>
      </c>
      <c r="J27" s="25" t="inlineStr">
        <is>
          <t>LichLamViec</t>
        </is>
      </c>
      <c r="K27" s="25" t="inlineStr">
        <is>
          <t>NhanVien, LichHen</t>
        </is>
      </c>
      <c r="L27" s="24" t="inlineStr">
        <is>
          <t>Đủ</t>
        </is>
      </c>
    </row>
    <row r="28">
      <c r="A28" s="26" t="inlineStr">
        <is>
          <t>UC-SPA-24</t>
        </is>
      </c>
      <c r="B28" s="27" t="inlineStr">
        <is>
          <t>Xem lịch làm việc cá nhân</t>
        </is>
      </c>
      <c r="C28" s="27" t="inlineStr">
        <is>
          <t>Nhân viên &amp; lịch làm việc</t>
        </is>
      </c>
      <c r="D28" s="26" t="inlineStr">
        <is>
          <t>Sprint 2</t>
        </is>
      </c>
      <c r="E28" s="26" t="inlineStr">
        <is>
          <t>P1</t>
        </is>
      </c>
      <c r="F28" s="27" t="inlineStr">
        <is>
          <t>SCR-M23, SCR-M24, SCR-W24, SCR-W25</t>
        </is>
      </c>
      <c r="G28" s="27" t="inlineStr">
        <is>
          <t>app/(staff)/dashboard.tsx; app/(staff)/schedule.tsx; /staff; /staff/schedule</t>
        </is>
      </c>
      <c r="H28" s="26" t="n">
        <v>2</v>
      </c>
      <c r="I28" s="27" t="inlineStr">
        <is>
          <t>SPA-API-088, SPA-API-089</t>
        </is>
      </c>
      <c r="J28" s="27" t="inlineStr">
        <is>
          <t>LichLamViec</t>
        </is>
      </c>
      <c r="K28" s="27" t="inlineStr"/>
      <c r="L28" s="26" t="inlineStr">
        <is>
          <t>Đủ</t>
        </is>
      </c>
    </row>
    <row r="29">
      <c r="A29" s="24" t="inlineStr">
        <is>
          <t>UC-SPA-25</t>
        </is>
      </c>
      <c r="B29" s="25" t="inlineStr">
        <is>
          <t>Xem danh sách lịch hẹn được phân công</t>
        </is>
      </c>
      <c r="C29" s="25" t="inlineStr">
        <is>
          <t>Nhân viên &amp; lịch làm việc</t>
        </is>
      </c>
      <c r="D29" s="24" t="inlineStr">
        <is>
          <t>Sprint 2</t>
        </is>
      </c>
      <c r="E29" s="24" t="inlineStr">
        <is>
          <t>P0</t>
        </is>
      </c>
      <c r="F29" s="25" t="inlineStr">
        <is>
          <t>SCR-M23, SCR-M25, SCR-M26, SCR-M31, SCR-W24, SCR-W26, SCR-W27, SCR-W34</t>
        </is>
      </c>
      <c r="G29" s="25" t="inlineStr">
        <is>
          <t>app/(staff)/dashboard.tsx; app/(staff)/bookings/index.tsx; app/(staff)/bookings/[bookingId].tsx; app/(owner)/bookings.tsx; /staff; /staff/bookings; /staff/bookings/:bookingId; /owner/bookings</t>
        </is>
      </c>
      <c r="H29" s="24" t="n">
        <v>3</v>
      </c>
      <c r="I29" s="25" t="inlineStr">
        <is>
          <t>SPA-API-059, SPA-API-090, SPA-API-095</t>
        </is>
      </c>
      <c r="J29" s="25" t="inlineStr">
        <is>
          <t>LichHen</t>
        </is>
      </c>
      <c r="K29" s="25" t="inlineStr">
        <is>
          <t>KhachHang, NguoiDung, DichVu, DiUngKhachHang</t>
        </is>
      </c>
      <c r="L29" s="24" t="inlineStr">
        <is>
          <t>Đủ</t>
        </is>
      </c>
    </row>
    <row r="30">
      <c r="A30" s="26" t="inlineStr">
        <is>
          <t>UC-SPA-26</t>
        </is>
      </c>
      <c r="B30" s="27" t="inlineStr">
        <is>
          <t>Xem lịch sử các khách hàng đã chăm sóc</t>
        </is>
      </c>
      <c r="C30" s="27" t="inlineStr">
        <is>
          <t>Chăm sóc &amp; hồ sơ da</t>
        </is>
      </c>
      <c r="D30" s="26" t="inlineStr">
        <is>
          <t>Sprint 2</t>
        </is>
      </c>
      <c r="E30" s="26" t="inlineStr">
        <is>
          <t>P1</t>
        </is>
      </c>
      <c r="F30" s="27" t="inlineStr">
        <is>
          <t>SCR-M26, SCR-M27, SCR-W27, SCR-W28, SCR-W36</t>
        </is>
      </c>
      <c r="G30" s="27" t="inlineStr">
        <is>
          <t>app/(staff)/bookings/[bookingId].tsx; app/(staff)/care-history.tsx; /staff/bookings/:bookingId; /staff/care-history; /owner/treatments</t>
        </is>
      </c>
      <c r="H30" s="26" t="n">
        <v>3</v>
      </c>
      <c r="I30" s="27" t="inlineStr">
        <is>
          <t>SPA-API-077, SPA-API-091, SPA-API-092</t>
        </is>
      </c>
      <c r="J30" s="27" t="inlineStr">
        <is>
          <t>LichHen</t>
        </is>
      </c>
      <c r="K30" s="27" t="inlineStr">
        <is>
          <t>HoSoDa, KhachHang</t>
        </is>
      </c>
      <c r="L30" s="26" t="inlineStr">
        <is>
          <t>Đủ</t>
        </is>
      </c>
    </row>
    <row r="31">
      <c r="A31" s="24" t="inlineStr">
        <is>
          <t>UC-SPA-27</t>
        </is>
      </c>
      <c r="B31" s="25" t="inlineStr">
        <is>
          <t>Lập và cập nhật hồ sơ da khách hàng</t>
        </is>
      </c>
      <c r="C31" s="25" t="inlineStr">
        <is>
          <t>Chăm sóc &amp; hồ sơ da</t>
        </is>
      </c>
      <c r="D31" s="24" t="inlineStr">
        <is>
          <t>Sprint 2</t>
        </is>
      </c>
      <c r="E31" s="24" t="inlineStr">
        <is>
          <t>P0</t>
        </is>
      </c>
      <c r="F31" s="25" t="inlineStr">
        <is>
          <t>SCR-M26, SCR-M27, SCR-W27, SCR-W28</t>
        </is>
      </c>
      <c r="G31" s="25" t="inlineStr">
        <is>
          <t>app/(staff)/bookings/[bookingId].tsx; app/(staff)/care-history.tsx; /staff/bookings/:bookingId; /staff/care-history</t>
        </is>
      </c>
      <c r="H31" s="24" t="n">
        <v>6</v>
      </c>
      <c r="I31" s="25" t="inlineStr">
        <is>
          <t>SPA-API-091, SPA-API-092, SPA-API-093, SPA-API-094, SPA-API-095, SPA-API-096</t>
        </is>
      </c>
      <c r="J31" s="25" t="inlineStr">
        <is>
          <t>HoSoDa</t>
        </is>
      </c>
      <c r="K31" s="25" t="inlineStr">
        <is>
          <t>DiUngKhachHang, LichHen</t>
        </is>
      </c>
      <c r="L31" s="24" t="inlineStr">
        <is>
          <t>Đủ</t>
        </is>
      </c>
    </row>
    <row r="32">
      <c r="A32" s="26" t="inlineStr">
        <is>
          <t>UC-SPA-28</t>
        </is>
      </c>
      <c r="B32" s="27" t="inlineStr">
        <is>
          <t>Xác nhận hoàn thành buổi chăm sóc</t>
        </is>
      </c>
      <c r="C32" s="27" t="inlineStr">
        <is>
          <t>Chăm sóc &amp; hồ sơ da</t>
        </is>
      </c>
      <c r="D32" s="26" t="inlineStr">
        <is>
          <t>Sprint 2</t>
        </is>
      </c>
      <c r="E32" s="26" t="inlineStr">
        <is>
          <t>P0</t>
        </is>
      </c>
      <c r="F32" s="27" t="inlineStr">
        <is>
          <t>SCR-M26, SCR-W27</t>
        </is>
      </c>
      <c r="G32" s="27" t="inlineStr">
        <is>
          <t>app/(staff)/bookings/[bookingId].tsx; /staff/bookings/:bookingId</t>
        </is>
      </c>
      <c r="H32" s="26" t="n">
        <v>1</v>
      </c>
      <c r="I32" s="27" t="inlineStr">
        <is>
          <t>SPA-API-097</t>
        </is>
      </c>
      <c r="J32" s="27" t="inlineStr">
        <is>
          <t>LichHen</t>
        </is>
      </c>
      <c r="K32" s="27" t="inlineStr">
        <is>
          <t>DichVuKhachHang, BuoiChamSoc, GoiKhachHang, LieuTrinh, ThongBao</t>
        </is>
      </c>
      <c r="L32" s="26" t="inlineStr">
        <is>
          <t>Đủ</t>
        </is>
      </c>
    </row>
    <row r="33">
      <c r="A33" s="24" t="inlineStr">
        <is>
          <t>UC-SPA-29</t>
        </is>
      </c>
      <c r="B33" s="25" t="inlineStr">
        <is>
          <t>Xem đánh giá dịch vụ</t>
        </is>
      </c>
      <c r="C33" s="25" t="inlineStr">
        <is>
          <t>Đánh giá</t>
        </is>
      </c>
      <c r="D33" s="24" t="inlineStr">
        <is>
          <t>Sprint 1</t>
        </is>
      </c>
      <c r="E33" s="24" t="inlineStr">
        <is>
          <t>P1</t>
        </is>
      </c>
      <c r="F33" s="25" t="inlineStr">
        <is>
          <t>SCR-M03, SCR-M05, SCR-W03, SCR-W05</t>
        </is>
      </c>
      <c r="G33" s="25" t="inlineStr">
        <is>
          <t>app/(public)/services/[serviceId].tsx; app/(public)/packages/[packageId].tsx; /services/:serviceId; /packages/:packageId</t>
        </is>
      </c>
      <c r="H33" s="24" t="n">
        <v>2</v>
      </c>
      <c r="I33" s="25" t="inlineStr">
        <is>
          <t>SPA-API-098, SPA-API-099</t>
        </is>
      </c>
      <c r="J33" s="25" t="inlineStr">
        <is>
          <t>DanhGia</t>
        </is>
      </c>
      <c r="K33" s="25" t="inlineStr">
        <is>
          <t>DichVu, GoiDichVu</t>
        </is>
      </c>
      <c r="L33" s="24" t="inlineStr">
        <is>
          <t>Đủ</t>
        </is>
      </c>
    </row>
    <row r="34">
      <c r="A34" s="26" t="inlineStr">
        <is>
          <t>UC-SPA-30</t>
        </is>
      </c>
      <c r="B34" s="27" t="inlineStr">
        <is>
          <t>Đánh giá dịch vụ</t>
        </is>
      </c>
      <c r="C34" s="27" t="inlineStr">
        <is>
          <t>Đánh giá</t>
        </is>
      </c>
      <c r="D34" s="26" t="inlineStr">
        <is>
          <t>Sprint 2</t>
        </is>
      </c>
      <c r="E34" s="26" t="inlineStr">
        <is>
          <t>P1</t>
        </is>
      </c>
      <c r="F34" s="27" t="inlineStr">
        <is>
          <t>SCR-M17, SCR-W18, SCR-W20</t>
        </is>
      </c>
      <c r="G34" s="27" t="inlineStr">
        <is>
          <t>app/(customer)/reviews.tsx; /my-history; /my-reviews</t>
        </is>
      </c>
      <c r="H34" s="26" t="n">
        <v>2</v>
      </c>
      <c r="I34" s="27" t="inlineStr">
        <is>
          <t>SPA-API-100, SPA-API-101</t>
        </is>
      </c>
      <c r="J34" s="27" t="inlineStr">
        <is>
          <t>DanhGia</t>
        </is>
      </c>
      <c r="K34" s="27" t="inlineStr">
        <is>
          <t>DichVuKhachHang, GoiKhachHang, BuoiChamSoc</t>
        </is>
      </c>
      <c r="L34" s="26" t="inlineStr">
        <is>
          <t>Đủ</t>
        </is>
      </c>
    </row>
    <row r="35">
      <c r="A35" s="24" t="inlineStr">
        <is>
          <t>UC-SPA-31</t>
        </is>
      </c>
      <c r="B35" s="25" t="inlineStr">
        <is>
          <t>Quản lý đánh giá dịch vụ</t>
        </is>
      </c>
      <c r="C35" s="25" t="inlineStr">
        <is>
          <t>Đánh giá</t>
        </is>
      </c>
      <c r="D35" s="24" t="inlineStr">
        <is>
          <t>Sprint 3</t>
        </is>
      </c>
      <c r="E35" s="24" t="inlineStr">
        <is>
          <t>P2</t>
        </is>
      </c>
      <c r="F35" s="25" t="inlineStr">
        <is>
          <t>SCR-W39</t>
        </is>
      </c>
      <c r="G35" s="25" t="inlineStr">
        <is>
          <t>/owner/reviews</t>
        </is>
      </c>
      <c r="H35" s="24" t="n">
        <v>3</v>
      </c>
      <c r="I35" s="25" t="inlineStr">
        <is>
          <t>SPA-API-102, SPA-API-103, SPA-API-104</t>
        </is>
      </c>
      <c r="J35" s="25" t="inlineStr">
        <is>
          <t>DanhGia</t>
        </is>
      </c>
      <c r="K35" s="25" t="inlineStr"/>
      <c r="L35" s="24" t="inlineStr">
        <is>
          <t>Đủ</t>
        </is>
      </c>
    </row>
    <row r="36">
      <c r="A36" s="26" t="inlineStr">
        <is>
          <t>UC-SPA-32</t>
        </is>
      </c>
      <c r="B36" s="27" t="inlineStr">
        <is>
          <t>Trò chuyện với trợ lý AI tư vấn dịch vụ</t>
        </is>
      </c>
      <c r="C36" s="27" t="inlineStr">
        <is>
          <t>Trợ lý AI</t>
        </is>
      </c>
      <c r="D36" s="26" t="inlineStr">
        <is>
          <t>Sprint 3</t>
        </is>
      </c>
      <c r="E36" s="26" t="inlineStr">
        <is>
          <t>P1</t>
        </is>
      </c>
      <c r="F36" s="27" t="inlineStr">
        <is>
          <t>SCR-M16, SCR-W01, SCR-W02, SCR-W21</t>
        </is>
      </c>
      <c r="G36" s="27" t="inlineStr">
        <is>
          <t>app/(customer)/ai-assistant.tsx; /; /services; /ai-assistant</t>
        </is>
      </c>
      <c r="H36" s="26" t="n">
        <v>2</v>
      </c>
      <c r="I36" s="27" t="inlineStr">
        <is>
          <t>SPA-API-105, SPA-API-106</t>
        </is>
      </c>
      <c r="J36" s="27" t="inlineStr">
        <is>
          <t>LichSuTroChuyenAI</t>
        </is>
      </c>
      <c r="K36" s="27" t="inlineStr">
        <is>
          <t>DichVu, GoiDichVu, LichHen, GoiKhachHang</t>
        </is>
      </c>
      <c r="L36" s="26" t="inlineStr">
        <is>
          <t>Đủ</t>
        </is>
      </c>
    </row>
    <row r="37">
      <c r="A37" s="24" t="inlineStr">
        <is>
          <t>UC-SPA-33</t>
        </is>
      </c>
      <c r="B37" s="25" t="inlineStr">
        <is>
          <t>Xem thống kê báo cáo doanh thu</t>
        </is>
      </c>
      <c r="C37" s="25" t="inlineStr">
        <is>
          <t>Thống kê &amp; báo cáo</t>
        </is>
      </c>
      <c r="D37" s="24" t="inlineStr">
        <is>
          <t>Sprint 3</t>
        </is>
      </c>
      <c r="E37" s="24" t="inlineStr">
        <is>
          <t>P0</t>
        </is>
      </c>
      <c r="F37" s="25" t="inlineStr">
        <is>
          <t>SCR-M28, SCR-M32, SCR-W30, SCR-W37, SCR-W38</t>
        </is>
      </c>
      <c r="G37" s="25" t="inlineStr">
        <is>
          <t>app/(owner)/dashboard.tsx; app/(owner)/reports.tsx; /owner; /owner/orders (repo hiện là /owner/payments); /owner/reports</t>
        </is>
      </c>
      <c r="H37" s="24" t="n">
        <v>4</v>
      </c>
      <c r="I37" s="25" t="inlineStr">
        <is>
          <t>SPA-API-043, SPA-API-107, SPA-API-108, SPA-API-109</t>
        </is>
      </c>
      <c r="J37" s="25" t="inlineStr">
        <is>
          <t>ThanhToan</t>
        </is>
      </c>
      <c r="K37" s="25" t="inlineStr">
        <is>
          <t>DonHang, ChiTietDonHang</t>
        </is>
      </c>
      <c r="L37" s="24" t="inlineStr">
        <is>
          <t>Đủ</t>
        </is>
      </c>
    </row>
    <row r="38">
      <c r="A38" s="26" t="inlineStr">
        <is>
          <t>UC-SPA-34</t>
        </is>
      </c>
      <c r="B38" s="27" t="inlineStr">
        <is>
          <t>Xem thông báo</t>
        </is>
      </c>
      <c r="C38" s="27" t="inlineStr">
        <is>
          <t>Thông báo</t>
        </is>
      </c>
      <c r="D38" s="26" t="inlineStr">
        <is>
          <t>Sprint 3</t>
        </is>
      </c>
      <c r="E38" s="26" t="inlineStr">
        <is>
          <t>P2</t>
        </is>
      </c>
      <c r="F38" s="27" t="inlineStr">
        <is>
          <t>SCR-M10, SCR-M22, SCR-W23</t>
        </is>
      </c>
      <c r="G38" s="27" t="inlineStr">
        <is>
          <t>app/(customer)/home.tsx; app/(customer)/notifications.tsx, app/(staff)/notifications.tsx; /notifications (+ chuông ở header)</t>
        </is>
      </c>
      <c r="H38" s="26" t="n">
        <v>4</v>
      </c>
      <c r="I38" s="27" t="inlineStr">
        <is>
          <t>SPA-API-110, SPA-API-111, SPA-API-112, SPA-API-113</t>
        </is>
      </c>
      <c r="J38" s="27" t="inlineStr">
        <is>
          <t>ThongBao</t>
        </is>
      </c>
      <c r="K38" s="27" t="inlineStr"/>
      <c r="L38" s="26" t="inlineStr">
        <is>
          <t>Đủ</t>
        </is>
      </c>
    </row>
  </sheetData>
  <autoFilter ref="A4:L38"/>
  <mergeCells count="3">
    <mergeCell ref="A3:L3"/>
    <mergeCell ref="A2:L2"/>
    <mergeCell ref="A1:L1"/>
  </mergeCells>
  <conditionalFormatting sqref="L5:L38">
    <cfRule type="expression" priority="1" dxfId="3">
      <formula>L5="Thiếu"</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76"/>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34" customWidth="1" min="3" max="3"/>
    <col width="44" customWidth="1" min="4" max="4"/>
    <col width="16" customWidth="1" min="5" max="5"/>
    <col width="8" customWidth="1" min="6" max="6"/>
    <col width="90" customWidth="1" min="7" max="7"/>
    <col width="34" customWidth="1" min="8" max="8"/>
    <col width="10" customWidth="1" min="9" max="9"/>
  </cols>
  <sheetData>
    <row r="1" ht="26" customHeight="1">
      <c r="A1" s="1" t="inlineStr">
        <is>
          <t>16 · TRUY VẾT MÀN HÌNH → API → UC</t>
        </is>
      </c>
    </row>
    <row r="2">
      <c r="A2" s="2" t="inlineStr">
        <is>
          <t>72 màn hình</t>
        </is>
      </c>
    </row>
    <row r="3" ht="30" customHeight="1">
      <c r="A3" s="3" t="inlineStr">
        <is>
          <t>API sử dụng sinh từ cột Màn hình của 12_API_Endpoints.</t>
        </is>
      </c>
    </row>
    <row r="4" ht="32" customHeight="1">
      <c r="A4" s="4" t="inlineStr">
        <is>
          <t>Mã màn hình</t>
        </is>
      </c>
      <c r="B4" s="4" t="inlineStr">
        <is>
          <t>Nền tảng</t>
        </is>
      </c>
      <c r="C4" s="4" t="inlineStr">
        <is>
          <t>Tên màn hình</t>
        </is>
      </c>
      <c r="D4" s="4" t="inlineStr">
        <is>
          <t>Route</t>
        </is>
      </c>
      <c r="E4" s="4" t="inlineStr">
        <is>
          <t>Trạng thái route</t>
        </is>
      </c>
      <c r="F4" s="4" t="inlineStr">
        <is>
          <t>Số API</t>
        </is>
      </c>
      <c r="G4" s="4" t="inlineStr">
        <is>
          <t>API sử dụng</t>
        </is>
      </c>
      <c r="H4" s="4" t="inlineStr">
        <is>
          <t>UC</t>
        </is>
      </c>
      <c r="I4" s="4" t="inlineStr">
        <is>
          <t>Sprint</t>
        </is>
      </c>
    </row>
    <row r="5">
      <c r="A5" s="24" t="inlineStr">
        <is>
          <t>SCR-W01</t>
        </is>
      </c>
      <c r="B5" s="24" t="inlineStr">
        <is>
          <t>Web</t>
        </is>
      </c>
      <c r="C5" s="25" t="inlineStr">
        <is>
          <t>Trang chủ</t>
        </is>
      </c>
      <c r="D5" s="25" t="inlineStr">
        <is>
          <t>/</t>
        </is>
      </c>
      <c r="E5" s="24" t="inlineStr">
        <is>
          <t>Đã có placeholder</t>
        </is>
      </c>
      <c r="F5" s="24" t="n">
        <v>3</v>
      </c>
      <c r="G5" s="25" t="inlineStr">
        <is>
          <t>SPA-API-017, SPA-API-019, SPA-API-106</t>
        </is>
      </c>
      <c r="H5" s="25" t="inlineStr">
        <is>
          <t>UC-SPA-06, UC-SPA-32</t>
        </is>
      </c>
      <c r="I5" s="24" t="inlineStr">
        <is>
          <t>Sprint 1</t>
        </is>
      </c>
    </row>
    <row r="6">
      <c r="A6" s="26" t="inlineStr">
        <is>
          <t>SCR-W02</t>
        </is>
      </c>
      <c r="B6" s="26" t="inlineStr">
        <is>
          <t>Web</t>
        </is>
      </c>
      <c r="C6" s="27" t="inlineStr">
        <is>
          <t>Tìm kiếm dịch vụ</t>
        </is>
      </c>
      <c r="D6" s="27" t="inlineStr">
        <is>
          <t>/services</t>
        </is>
      </c>
      <c r="E6" s="26" t="inlineStr">
        <is>
          <t>Đã có placeholder</t>
        </is>
      </c>
      <c r="F6" s="26" t="n">
        <v>5</v>
      </c>
      <c r="G6" s="27" t="inlineStr">
        <is>
          <t>SPA-API-017, SPA-API-021, SPA-API-022, SPA-API-032, SPA-API-106</t>
        </is>
      </c>
      <c r="H6" s="27" t="inlineStr">
        <is>
          <t>UC-SPA-06, UC-SPA-32</t>
        </is>
      </c>
      <c r="I6" s="26" t="inlineStr">
        <is>
          <t>Sprint 1</t>
        </is>
      </c>
    </row>
    <row r="7">
      <c r="A7" s="24" t="inlineStr">
        <is>
          <t>SCR-W03</t>
        </is>
      </c>
      <c r="B7" s="24" t="inlineStr">
        <is>
          <t>Web</t>
        </is>
      </c>
      <c r="C7" s="25" t="inlineStr">
        <is>
          <t>Chi tiết dịch vụ</t>
        </is>
      </c>
      <c r="D7" s="25" t="inlineStr">
        <is>
          <t>/services/:serviceId</t>
        </is>
      </c>
      <c r="E7" s="24" t="inlineStr">
        <is>
          <t>Đã có placeholder</t>
        </is>
      </c>
      <c r="F7" s="24" t="n">
        <v>3</v>
      </c>
      <c r="G7" s="25" t="inlineStr">
        <is>
          <t>SPA-API-018, SPA-API-032, SPA-API-098</t>
        </is>
      </c>
      <c r="H7" s="25" t="inlineStr">
        <is>
          <t>UC-SPA-07, UC-SPA-29</t>
        </is>
      </c>
      <c r="I7" s="24" t="inlineStr">
        <is>
          <t>Sprint 1</t>
        </is>
      </c>
    </row>
    <row r="8">
      <c r="A8" s="26" t="inlineStr">
        <is>
          <t>SCR-W04</t>
        </is>
      </c>
      <c r="B8" s="26" t="inlineStr">
        <is>
          <t>Web</t>
        </is>
      </c>
      <c r="C8" s="27" t="inlineStr">
        <is>
          <t>Tìm kiếm gói dịch vụ</t>
        </is>
      </c>
      <c r="D8" s="27" t="inlineStr">
        <is>
          <t>/packages</t>
        </is>
      </c>
      <c r="E8" s="26" t="inlineStr">
        <is>
          <t>Đã có placeholder</t>
        </is>
      </c>
      <c r="F8" s="26" t="n">
        <v>2</v>
      </c>
      <c r="G8" s="27" t="inlineStr">
        <is>
          <t>SPA-API-019, SPA-API-032</t>
        </is>
      </c>
      <c r="H8" s="27" t="inlineStr">
        <is>
          <t>UC-SPA-06</t>
        </is>
      </c>
      <c r="I8" s="26" t="inlineStr">
        <is>
          <t>Sprint 1</t>
        </is>
      </c>
    </row>
    <row r="9">
      <c r="A9" s="24" t="inlineStr">
        <is>
          <t>SCR-W05</t>
        </is>
      </c>
      <c r="B9" s="24" t="inlineStr">
        <is>
          <t>Web</t>
        </is>
      </c>
      <c r="C9" s="25" t="inlineStr">
        <is>
          <t>Chi tiết gói dịch vụ</t>
        </is>
      </c>
      <c r="D9" s="25" t="inlineStr">
        <is>
          <t>/packages/:packageId</t>
        </is>
      </c>
      <c r="E9" s="24" t="inlineStr">
        <is>
          <t>Đã có placeholder</t>
        </is>
      </c>
      <c r="F9" s="24" t="n">
        <v>3</v>
      </c>
      <c r="G9" s="25" t="inlineStr">
        <is>
          <t>SPA-API-020, SPA-API-032, SPA-API-099</t>
        </is>
      </c>
      <c r="H9" s="25" t="inlineStr">
        <is>
          <t>UC-SPA-07, UC-SPA-29</t>
        </is>
      </c>
      <c r="I9" s="24" t="inlineStr">
        <is>
          <t>Sprint 1</t>
        </is>
      </c>
    </row>
    <row r="10">
      <c r="A10" s="26" t="inlineStr">
        <is>
          <t>SCR-W06</t>
        </is>
      </c>
      <c r="B10" s="26" t="inlineStr">
        <is>
          <t>Web</t>
        </is>
      </c>
      <c r="C10" s="27" t="inlineStr">
        <is>
          <t>Giới thiệu spa</t>
        </is>
      </c>
      <c r="D10" s="27" t="inlineStr">
        <is>
          <t>/about</t>
        </is>
      </c>
      <c r="E10" s="26" t="inlineStr">
        <is>
          <t>Đề xuất thêm</t>
        </is>
      </c>
      <c r="F10" s="26" t="n">
        <v>1</v>
      </c>
      <c r="G10" s="27" t="inlineStr">
        <is>
          <t>SPA-API-023</t>
        </is>
      </c>
      <c r="H10" s="27" t="inlineStr">
        <is>
          <t>UC-SPA-08</t>
        </is>
      </c>
      <c r="I10" s="26" t="inlineStr">
        <is>
          <t>Sprint 1</t>
        </is>
      </c>
    </row>
    <row r="11">
      <c r="A11" s="24" t="inlineStr">
        <is>
          <t>SCR-W07</t>
        </is>
      </c>
      <c r="B11" s="24" t="inlineStr">
        <is>
          <t>Web</t>
        </is>
      </c>
      <c r="C11" s="25" t="inlineStr">
        <is>
          <t>Đăng nhập</t>
        </is>
      </c>
      <c r="D11" s="25" t="inlineStr">
        <is>
          <t>/login</t>
        </is>
      </c>
      <c r="E11" s="24" t="inlineStr">
        <is>
          <t>Đã có placeholder</t>
        </is>
      </c>
      <c r="F11" s="24" t="n">
        <v>1</v>
      </c>
      <c r="G11" s="25" t="inlineStr">
        <is>
          <t>SPA-API-003</t>
        </is>
      </c>
      <c r="H11" s="25" t="inlineStr">
        <is>
          <t>UC-SPA-02</t>
        </is>
      </c>
      <c r="I11" s="24" t="inlineStr">
        <is>
          <t>Sprint 1</t>
        </is>
      </c>
    </row>
    <row r="12">
      <c r="A12" s="26" t="inlineStr">
        <is>
          <t>SCR-W08</t>
        </is>
      </c>
      <c r="B12" s="26" t="inlineStr">
        <is>
          <t>Web</t>
        </is>
      </c>
      <c r="C12" s="27" t="inlineStr">
        <is>
          <t>Đăng ký (2 bước: thông tin → OTP)</t>
        </is>
      </c>
      <c r="D12" s="27" t="inlineStr">
        <is>
          <t>/register</t>
        </is>
      </c>
      <c r="E12" s="26" t="inlineStr">
        <is>
          <t>Đã có placeholder</t>
        </is>
      </c>
      <c r="F12" s="26" t="n">
        <v>2</v>
      </c>
      <c r="G12" s="27" t="inlineStr">
        <is>
          <t>SPA-API-001, SPA-API-002</t>
        </is>
      </c>
      <c r="H12" s="27" t="inlineStr">
        <is>
          <t>UC-SPA-01</t>
        </is>
      </c>
      <c r="I12" s="26" t="inlineStr">
        <is>
          <t>Sprint 1</t>
        </is>
      </c>
    </row>
    <row r="13">
      <c r="A13" s="24" t="inlineStr">
        <is>
          <t>SCR-W09</t>
        </is>
      </c>
      <c r="B13" s="24" t="inlineStr">
        <is>
          <t>Web</t>
        </is>
      </c>
      <c r="C13" s="25" t="inlineStr">
        <is>
          <t>Quên mật khẩu (email → OTP → mật khẩu mới)</t>
        </is>
      </c>
      <c r="D13" s="25" t="inlineStr">
        <is>
          <t>/forgot-password</t>
        </is>
      </c>
      <c r="E13" s="24" t="inlineStr">
        <is>
          <t>Đề xuất thêm</t>
        </is>
      </c>
      <c r="F13" s="24" t="n">
        <v>3</v>
      </c>
      <c r="G13" s="25" t="inlineStr">
        <is>
          <t>SPA-API-006, SPA-API-007, SPA-API-008</t>
        </is>
      </c>
      <c r="H13" s="25" t="inlineStr">
        <is>
          <t>UC-SPA-03</t>
        </is>
      </c>
      <c r="I13" s="24" t="inlineStr">
        <is>
          <t>Sprint 1</t>
        </is>
      </c>
    </row>
    <row r="14">
      <c r="A14" s="26" t="inlineStr">
        <is>
          <t>SCR-W10</t>
        </is>
      </c>
      <c r="B14" s="26" t="inlineStr">
        <is>
          <t>Web</t>
        </is>
      </c>
      <c r="C14" s="27" t="inlineStr">
        <is>
          <t>Giỏ hàng</t>
        </is>
      </c>
      <c r="D14" s="27" t="inlineStr">
        <is>
          <t>/cart</t>
        </is>
      </c>
      <c r="E14" s="26" t="inlineStr">
        <is>
          <t>Đề xuất thêm</t>
        </is>
      </c>
      <c r="F14" s="26" t="n">
        <v>2</v>
      </c>
      <c r="G14" s="27" t="inlineStr">
        <is>
          <t>SPA-API-031, SPA-API-033</t>
        </is>
      </c>
      <c r="H14" s="27" t="inlineStr">
        <is>
          <t>UC-SPA-10</t>
        </is>
      </c>
      <c r="I14" s="26" t="inlineStr">
        <is>
          <t>Sprint 2</t>
        </is>
      </c>
    </row>
    <row r="15">
      <c r="A15" s="24" t="inlineStr">
        <is>
          <t>SCR-W11</t>
        </is>
      </c>
      <c r="B15" s="24" t="inlineStr">
        <is>
          <t>Web</t>
        </is>
      </c>
      <c r="C15" s="25" t="inlineStr">
        <is>
          <t>Thanh toán</t>
        </is>
      </c>
      <c r="D15" s="25" t="inlineStr">
        <is>
          <t>/checkout?orderId=</t>
        </is>
      </c>
      <c r="E15" s="24" t="inlineStr">
        <is>
          <t>Đề xuất thêm</t>
        </is>
      </c>
      <c r="F15" s="24" t="n">
        <v>5</v>
      </c>
      <c r="G15" s="25" t="inlineStr">
        <is>
          <t>SPA-API-034, SPA-API-035, SPA-API-036, SPA-API-037, SPA-API-041</t>
        </is>
      </c>
      <c r="H15" s="25" t="inlineStr">
        <is>
          <t>UC-SPA-11</t>
        </is>
      </c>
      <c r="I15" s="24" t="inlineStr">
        <is>
          <t>Sprint 2</t>
        </is>
      </c>
    </row>
    <row r="16">
      <c r="A16" s="26" t="inlineStr">
        <is>
          <t>SCR-W12</t>
        </is>
      </c>
      <c r="B16" s="26" t="inlineStr">
        <is>
          <t>Web</t>
        </is>
      </c>
      <c r="C16" s="27" t="inlineStr">
        <is>
          <t>Kết quả thanh toán</t>
        </is>
      </c>
      <c r="D16" s="27" t="inlineStr">
        <is>
          <t>/payment/result</t>
        </is>
      </c>
      <c r="E16" s="26" t="inlineStr">
        <is>
          <t>Đề xuất thêm</t>
        </is>
      </c>
      <c r="F16" s="26" t="n">
        <v>2</v>
      </c>
      <c r="G16" s="27" t="inlineStr">
        <is>
          <t>SPA-API-038, SPA-API-041</t>
        </is>
      </c>
      <c r="H16" s="27" t="inlineStr">
        <is>
          <t>UC-SPA-11</t>
        </is>
      </c>
      <c r="I16" s="26" t="inlineStr">
        <is>
          <t>Sprint 2</t>
        </is>
      </c>
    </row>
    <row r="17">
      <c r="A17" s="24" t="inlineStr">
        <is>
          <t>SCR-W13</t>
        </is>
      </c>
      <c r="B17" s="24" t="inlineStr">
        <is>
          <t>Web</t>
        </is>
      </c>
      <c r="C17" s="25" t="inlineStr">
        <is>
          <t>Đặt lịch hẹn</t>
        </is>
      </c>
      <c r="D17" s="25" t="inlineStr">
        <is>
          <t>/booking/new?serviceId= | ?dichVuKhachHangId= | ?buoiChamSocId=</t>
        </is>
      </c>
      <c r="E17" s="24" t="inlineStr">
        <is>
          <t>Đề xuất thêm</t>
        </is>
      </c>
      <c r="F17" s="24" t="n">
        <v>4</v>
      </c>
      <c r="G17" s="25" t="inlineStr">
        <is>
          <t>SPA-API-051, SPA-API-052, SPA-API-053, SPA-API-078</t>
        </is>
      </c>
      <c r="H17" s="25" t="inlineStr">
        <is>
          <t>UC-SPA-15</t>
        </is>
      </c>
      <c r="I17" s="24" t="inlineStr">
        <is>
          <t>Sprint 1</t>
        </is>
      </c>
    </row>
    <row r="18">
      <c r="A18" s="26" t="inlineStr">
        <is>
          <t>SCR-W14</t>
        </is>
      </c>
      <c r="B18" s="26" t="inlineStr">
        <is>
          <t>Web</t>
        </is>
      </c>
      <c r="C18" s="27" t="inlineStr">
        <is>
          <t>Lịch hẹn của tôi</t>
        </is>
      </c>
      <c r="D18" s="27" t="inlineStr">
        <is>
          <t>/my-bookings</t>
        </is>
      </c>
      <c r="E18" s="26" t="inlineStr">
        <is>
          <t>Đã có placeholder</t>
        </is>
      </c>
      <c r="F18" s="26" t="n">
        <v>2</v>
      </c>
      <c r="G18" s="27" t="inlineStr">
        <is>
          <t>SPA-API-054, SPA-API-057</t>
        </is>
      </c>
      <c r="H18" s="27" t="inlineStr">
        <is>
          <t>UC-SPA-16</t>
        </is>
      </c>
      <c r="I18" s="26" t="inlineStr">
        <is>
          <t>Sprint 2</t>
        </is>
      </c>
    </row>
    <row r="19">
      <c r="A19" s="24" t="inlineStr">
        <is>
          <t>SCR-W15</t>
        </is>
      </c>
      <c r="B19" s="24" t="inlineStr">
        <is>
          <t>Web</t>
        </is>
      </c>
      <c r="C19" s="25" t="inlineStr">
        <is>
          <t>Chi tiết lịch hẹn</t>
        </is>
      </c>
      <c r="D19" s="25" t="inlineStr">
        <is>
          <t>/my-bookings/:bookingId</t>
        </is>
      </c>
      <c r="E19" s="24" t="inlineStr">
        <is>
          <t>Đã có placeholder</t>
        </is>
      </c>
      <c r="F19" s="24" t="n">
        <v>4</v>
      </c>
      <c r="G19" s="25" t="inlineStr">
        <is>
          <t>SPA-API-051, SPA-API-055, SPA-API-056, SPA-API-057</t>
        </is>
      </c>
      <c r="H19" s="25" t="inlineStr">
        <is>
          <t>UC-SPA-16</t>
        </is>
      </c>
      <c r="I19" s="24" t="inlineStr">
        <is>
          <t>Sprint 2</t>
        </is>
      </c>
    </row>
    <row r="20">
      <c r="A20" s="26" t="inlineStr">
        <is>
          <t>SCR-W16</t>
        </is>
      </c>
      <c r="B20" s="26" t="inlineStr">
        <is>
          <t>Web</t>
        </is>
      </c>
      <c r="C20" s="27" t="inlineStr">
        <is>
          <t>Dịch vụ và gói của tôi</t>
        </is>
      </c>
      <c r="D20" s="27" t="inlineStr">
        <is>
          <t>/my-packages</t>
        </is>
      </c>
      <c r="E20" s="26" t="inlineStr">
        <is>
          <t>Đã có placeholder</t>
        </is>
      </c>
      <c r="F20" s="26" t="n">
        <v>3</v>
      </c>
      <c r="G20" s="27" t="inlineStr">
        <is>
          <t>SPA-API-065, SPA-API-066, SPA-API-067</t>
        </is>
      </c>
      <c r="H20" s="27" t="inlineStr">
        <is>
          <t>UC-SPA-18</t>
        </is>
      </c>
      <c r="I20" s="26" t="inlineStr">
        <is>
          <t>Sprint 2</t>
        </is>
      </c>
    </row>
    <row r="21">
      <c r="A21" s="24" t="inlineStr">
        <is>
          <t>SCR-W17</t>
        </is>
      </c>
      <c r="B21" s="24" t="inlineStr">
        <is>
          <t>Web</t>
        </is>
      </c>
      <c r="C21" s="25" t="inlineStr">
        <is>
          <t>Theo dõi liệu trình</t>
        </is>
      </c>
      <c r="D21" s="25" t="inlineStr">
        <is>
          <t>/my-treatment-plans, /my-treatment-plans/:id</t>
        </is>
      </c>
      <c r="E21" s="24" t="inlineStr">
        <is>
          <t>Đã có placeholder</t>
        </is>
      </c>
      <c r="F21" s="24" t="n">
        <v>3</v>
      </c>
      <c r="G21" s="25" t="inlineStr">
        <is>
          <t>SPA-API-068, SPA-API-069, SPA-API-070</t>
        </is>
      </c>
      <c r="H21" s="25" t="inlineStr">
        <is>
          <t>UC-SPA-19</t>
        </is>
      </c>
      <c r="I21" s="24" t="inlineStr">
        <is>
          <t>Sprint 2</t>
        </is>
      </c>
    </row>
    <row r="22">
      <c r="A22" s="26" t="inlineStr">
        <is>
          <t>SCR-W18</t>
        </is>
      </c>
      <c r="B22" s="26" t="inlineStr">
        <is>
          <t>Web</t>
        </is>
      </c>
      <c r="C22" s="27" t="inlineStr">
        <is>
          <t>Lịch sử sử dụng dịch vụ</t>
        </is>
      </c>
      <c r="D22" s="27" t="inlineStr">
        <is>
          <t>/my-history</t>
        </is>
      </c>
      <c r="E22" s="26" t="inlineStr">
        <is>
          <t>Đề xuất thêm</t>
        </is>
      </c>
      <c r="F22" s="26" t="n">
        <v>3</v>
      </c>
      <c r="G22" s="27" t="inlineStr">
        <is>
          <t>SPA-API-071, SPA-API-072, SPA-API-100</t>
        </is>
      </c>
      <c r="H22" s="27" t="inlineStr">
        <is>
          <t>UC-SPA-20</t>
        </is>
      </c>
      <c r="I22" s="26" t="inlineStr">
        <is>
          <t>Sprint 2</t>
        </is>
      </c>
    </row>
    <row r="23">
      <c r="A23" s="24" t="inlineStr">
        <is>
          <t>SCR-W19</t>
        </is>
      </c>
      <c r="B23" s="24" t="inlineStr">
        <is>
          <t>Web</t>
        </is>
      </c>
      <c r="C23" s="25" t="inlineStr">
        <is>
          <t>Đơn hàng của tôi</t>
        </is>
      </c>
      <c r="D23" s="25" t="inlineStr">
        <is>
          <t>/my-orders, /my-orders/:orderId</t>
        </is>
      </c>
      <c r="E23" s="24" t="inlineStr">
        <is>
          <t>Đề xuất thêm</t>
        </is>
      </c>
      <c r="F23" s="24" t="n">
        <v>4</v>
      </c>
      <c r="G23" s="25" t="inlineStr">
        <is>
          <t>SPA-API-037, SPA-API-040, SPA-API-041, SPA-API-042</t>
        </is>
      </c>
      <c r="H23" s="25" t="inlineStr">
        <is>
          <t>UC-SPA-12</t>
        </is>
      </c>
      <c r="I23" s="24" t="inlineStr">
        <is>
          <t>Sprint 2</t>
        </is>
      </c>
    </row>
    <row r="24">
      <c r="A24" s="26" t="inlineStr">
        <is>
          <t>SCR-W20</t>
        </is>
      </c>
      <c r="B24" s="26" t="inlineStr">
        <is>
          <t>Web</t>
        </is>
      </c>
      <c r="C24" s="27" t="inlineStr">
        <is>
          <t>Đánh giá của tôi</t>
        </is>
      </c>
      <c r="D24" s="27" t="inlineStr">
        <is>
          <t>/my-reviews</t>
        </is>
      </c>
      <c r="E24" s="26" t="inlineStr">
        <is>
          <t>Đã có placeholder</t>
        </is>
      </c>
      <c r="F24" s="26" t="n">
        <v>2</v>
      </c>
      <c r="G24" s="27" t="inlineStr">
        <is>
          <t>SPA-API-100, SPA-API-101</t>
        </is>
      </c>
      <c r="H24" s="27" t="inlineStr">
        <is>
          <t>UC-SPA-30</t>
        </is>
      </c>
      <c r="I24" s="26" t="inlineStr">
        <is>
          <t>Sprint 2</t>
        </is>
      </c>
    </row>
    <row r="25">
      <c r="A25" s="24" t="inlineStr">
        <is>
          <t>SCR-W21</t>
        </is>
      </c>
      <c r="B25" s="24" t="inlineStr">
        <is>
          <t>Web</t>
        </is>
      </c>
      <c r="C25" s="25" t="inlineStr">
        <is>
          <t>Trợ lý AI</t>
        </is>
      </c>
      <c r="D25" s="25" t="inlineStr">
        <is>
          <t>/ai-assistant</t>
        </is>
      </c>
      <c r="E25" s="24" t="inlineStr">
        <is>
          <t>Đã có placeholder</t>
        </is>
      </c>
      <c r="F25" s="24" t="n">
        <v>2</v>
      </c>
      <c r="G25" s="25" t="inlineStr">
        <is>
          <t>SPA-API-105, SPA-API-106</t>
        </is>
      </c>
      <c r="H25" s="25" t="inlineStr">
        <is>
          <t>UC-SPA-32</t>
        </is>
      </c>
      <c r="I25" s="24" t="inlineStr">
        <is>
          <t>Sprint 3</t>
        </is>
      </c>
    </row>
    <row r="26">
      <c r="A26" s="26" t="inlineStr">
        <is>
          <t>SCR-W22</t>
        </is>
      </c>
      <c r="B26" s="26" t="inlineStr">
        <is>
          <t>Web</t>
        </is>
      </c>
      <c r="C26" s="27" t="inlineStr">
        <is>
          <t>Thông tin tài khoản</t>
        </is>
      </c>
      <c r="D26" s="27" t="inlineStr">
        <is>
          <t>/account (staff, owner: dùng chung)</t>
        </is>
      </c>
      <c r="E26" s="26" t="inlineStr">
        <is>
          <t>Đã có placeholder</t>
        </is>
      </c>
      <c r="F26" s="26" t="n">
        <v>5</v>
      </c>
      <c r="G26" s="27" t="inlineStr">
        <is>
          <t>SPA-API-005, SPA-API-009, SPA-API-010, SPA-API-011, SPA-API-012</t>
        </is>
      </c>
      <c r="H26" s="27" t="inlineStr">
        <is>
          <t>UC-SPA-04</t>
        </is>
      </c>
      <c r="I26" s="26" t="inlineStr">
        <is>
          <t>Sprint 1</t>
        </is>
      </c>
    </row>
    <row r="27">
      <c r="A27" s="24" t="inlineStr">
        <is>
          <t>SCR-W23</t>
        </is>
      </c>
      <c r="B27" s="24" t="inlineStr">
        <is>
          <t>Web</t>
        </is>
      </c>
      <c r="C27" s="25" t="inlineStr">
        <is>
          <t>Thông báo</t>
        </is>
      </c>
      <c r="D27" s="25" t="inlineStr">
        <is>
          <t>/notifications (+ chuông ở header)</t>
        </is>
      </c>
      <c r="E27" s="24" t="inlineStr">
        <is>
          <t>Đề xuất thêm</t>
        </is>
      </c>
      <c r="F27" s="24" t="n">
        <v>4</v>
      </c>
      <c r="G27" s="25" t="inlineStr">
        <is>
          <t>SPA-API-110, SPA-API-111, SPA-API-112, SPA-API-113</t>
        </is>
      </c>
      <c r="H27" s="25" t="inlineStr">
        <is>
          <t>UC-SPA-34</t>
        </is>
      </c>
      <c r="I27" s="24" t="inlineStr">
        <is>
          <t>Sprint 3</t>
        </is>
      </c>
    </row>
    <row r="28">
      <c r="A28" s="26" t="inlineStr">
        <is>
          <t>SCR-W24</t>
        </is>
      </c>
      <c r="B28" s="26" t="inlineStr">
        <is>
          <t>Web</t>
        </is>
      </c>
      <c r="C28" s="27" t="inlineStr">
        <is>
          <t>Tổng quan nhân viên</t>
        </is>
      </c>
      <c r="D28" s="27" t="inlineStr">
        <is>
          <t>/staff</t>
        </is>
      </c>
      <c r="E28" s="26" t="inlineStr">
        <is>
          <t>Đã có placeholder</t>
        </is>
      </c>
      <c r="F28" s="26" t="n">
        <v>2</v>
      </c>
      <c r="G28" s="27" t="inlineStr">
        <is>
          <t>SPA-API-088, SPA-API-090</t>
        </is>
      </c>
      <c r="H28" s="27" t="inlineStr">
        <is>
          <t>UC-SPA-24, UC-SPA-25</t>
        </is>
      </c>
      <c r="I28" s="26" t="inlineStr">
        <is>
          <t>Sprint 2</t>
        </is>
      </c>
    </row>
    <row r="29">
      <c r="A29" s="24" t="inlineStr">
        <is>
          <t>SCR-W25</t>
        </is>
      </c>
      <c r="B29" s="24" t="inlineStr">
        <is>
          <t>Web</t>
        </is>
      </c>
      <c r="C29" s="25" t="inlineStr">
        <is>
          <t>Lịch làm việc cá nhân</t>
        </is>
      </c>
      <c r="D29" s="25" t="inlineStr">
        <is>
          <t>/staff/schedule</t>
        </is>
      </c>
      <c r="E29" s="24" t="inlineStr">
        <is>
          <t>Đã có placeholder</t>
        </is>
      </c>
      <c r="F29" s="24" t="n">
        <v>2</v>
      </c>
      <c r="G29" s="25" t="inlineStr">
        <is>
          <t>SPA-API-088, SPA-API-089</t>
        </is>
      </c>
      <c r="H29" s="25" t="inlineStr">
        <is>
          <t>UC-SPA-24</t>
        </is>
      </c>
      <c r="I29" s="24" t="inlineStr">
        <is>
          <t>Sprint 2</t>
        </is>
      </c>
    </row>
    <row r="30">
      <c r="A30" s="26" t="inlineStr">
        <is>
          <t>SCR-W26</t>
        </is>
      </c>
      <c r="B30" s="26" t="inlineStr">
        <is>
          <t>Web</t>
        </is>
      </c>
      <c r="C30" s="27" t="inlineStr">
        <is>
          <t>Lịch hẹn được phân công</t>
        </is>
      </c>
      <c r="D30" s="27" t="inlineStr">
        <is>
          <t>/staff/bookings</t>
        </is>
      </c>
      <c r="E30" s="26" t="inlineStr">
        <is>
          <t>Đã có placeholder</t>
        </is>
      </c>
      <c r="F30" s="26" t="n">
        <v>1</v>
      </c>
      <c r="G30" s="27" t="inlineStr">
        <is>
          <t>SPA-API-090</t>
        </is>
      </c>
      <c r="H30" s="27" t="inlineStr">
        <is>
          <t>UC-SPA-25</t>
        </is>
      </c>
      <c r="I30" s="26" t="inlineStr">
        <is>
          <t>Sprint 2</t>
        </is>
      </c>
    </row>
    <row r="31">
      <c r="A31" s="24" t="inlineStr">
        <is>
          <t>SCR-W27</t>
        </is>
      </c>
      <c r="B31" s="24" t="inlineStr">
        <is>
          <t>Web</t>
        </is>
      </c>
      <c r="C31" s="25" t="inlineStr">
        <is>
          <t>Chi tiết buổi chăm sóc</t>
        </is>
      </c>
      <c r="D31" s="25" t="inlineStr">
        <is>
          <t>/staff/bookings/:bookingId</t>
        </is>
      </c>
      <c r="E31" s="24" t="inlineStr">
        <is>
          <t>Đã có placeholder</t>
        </is>
      </c>
      <c r="F31" s="24" t="n">
        <v>7</v>
      </c>
      <c r="G31" s="25" t="inlineStr">
        <is>
          <t>SPA-API-059, SPA-API-092, SPA-API-093, SPA-API-094, SPA-API-095, SPA-API-096, SPA-API-097</t>
        </is>
      </c>
      <c r="H31" s="25" t="inlineStr">
        <is>
          <t>UC-SPA-25, UC-SPA-27, UC-SPA-28</t>
        </is>
      </c>
      <c r="I31" s="24" t="inlineStr">
        <is>
          <t>Sprint 2</t>
        </is>
      </c>
    </row>
    <row r="32">
      <c r="A32" s="26" t="inlineStr">
        <is>
          <t>SCR-W28</t>
        </is>
      </c>
      <c r="B32" s="26" t="inlineStr">
        <is>
          <t>Web</t>
        </is>
      </c>
      <c r="C32" s="27" t="inlineStr">
        <is>
          <t>Lịch sử khách đã chăm sóc</t>
        </is>
      </c>
      <c r="D32" s="27" t="inlineStr">
        <is>
          <t>/staff/care-history</t>
        </is>
      </c>
      <c r="E32" s="26" t="inlineStr">
        <is>
          <t>Đề xuất thêm</t>
        </is>
      </c>
      <c r="F32" s="26" t="n">
        <v>5</v>
      </c>
      <c r="G32" s="27" t="inlineStr">
        <is>
          <t>SPA-API-077, SPA-API-091, SPA-API-092, SPA-API-093, SPA-API-094</t>
        </is>
      </c>
      <c r="H32" s="27" t="inlineStr">
        <is>
          <t>UC-SPA-26, UC-SPA-27</t>
        </is>
      </c>
      <c r="I32" s="26" t="inlineStr">
        <is>
          <t>Sprint 2</t>
        </is>
      </c>
    </row>
    <row r="33">
      <c r="A33" s="24" t="inlineStr">
        <is>
          <t>SCR-W29</t>
        </is>
      </c>
      <c r="B33" s="24" t="inlineStr">
        <is>
          <t>Web</t>
        </is>
      </c>
      <c r="C33" s="25" t="inlineStr">
        <is>
          <t>Liệu trình phụ trách</t>
        </is>
      </c>
      <c r="D33" s="25" t="inlineStr">
        <is>
          <t>/staff/treatments</t>
        </is>
      </c>
      <c r="E33" s="24" t="inlineStr">
        <is>
          <t>Đề xuất thêm</t>
        </is>
      </c>
      <c r="F33" s="24" t="n">
        <v>4</v>
      </c>
      <c r="G33" s="25" t="inlineStr">
        <is>
          <t>SPA-API-073, SPA-API-074, SPA-API-075, SPA-API-076</t>
        </is>
      </c>
      <c r="H33" s="25" t="inlineStr">
        <is>
          <t>UC-SPA-21</t>
        </is>
      </c>
      <c r="I33" s="24" t="inlineStr">
        <is>
          <t>Sprint 2</t>
        </is>
      </c>
    </row>
    <row r="34">
      <c r="A34" s="26" t="inlineStr">
        <is>
          <t>SCR-W30</t>
        </is>
      </c>
      <c r="B34" s="26" t="inlineStr">
        <is>
          <t>Web</t>
        </is>
      </c>
      <c r="C34" s="27" t="inlineStr">
        <is>
          <t>Tổng quan quản lý</t>
        </is>
      </c>
      <c r="D34" s="27" t="inlineStr">
        <is>
          <t>/owner</t>
        </is>
      </c>
      <c r="E34" s="26" t="inlineStr">
        <is>
          <t>Đã có placeholder</t>
        </is>
      </c>
      <c r="F34" s="26" t="n">
        <v>1</v>
      </c>
      <c r="G34" s="27" t="inlineStr">
        <is>
          <t>SPA-API-107</t>
        </is>
      </c>
      <c r="H34" s="27" t="inlineStr">
        <is>
          <t>UC-SPA-33</t>
        </is>
      </c>
      <c r="I34" s="26" t="inlineStr">
        <is>
          <t>Sprint 3</t>
        </is>
      </c>
    </row>
    <row r="35">
      <c r="A35" s="24" t="inlineStr">
        <is>
          <t>SCR-W31</t>
        </is>
      </c>
      <c r="B35" s="24" t="inlineStr">
        <is>
          <t>Web</t>
        </is>
      </c>
      <c r="C35" s="25" t="inlineStr">
        <is>
          <t>Quản lý dịch vụ</t>
        </is>
      </c>
      <c r="D35" s="25" t="inlineStr">
        <is>
          <t>/owner/services</t>
        </is>
      </c>
      <c r="E35" s="24" t="inlineStr">
        <is>
          <t>Đã có placeholder</t>
        </is>
      </c>
      <c r="F35" s="24" t="n">
        <v>5</v>
      </c>
      <c r="G35" s="25" t="inlineStr">
        <is>
          <t>SPA-API-017, SPA-API-024, SPA-API-025, SPA-API-026, SPA-API-027</t>
        </is>
      </c>
      <c r="H35" s="25" t="inlineStr">
        <is>
          <t>UC-SPA-09</t>
        </is>
      </c>
      <c r="I35" s="24" t="inlineStr">
        <is>
          <t>Sprint 1</t>
        </is>
      </c>
    </row>
    <row r="36">
      <c r="A36" s="26" t="inlineStr">
        <is>
          <t>SCR-W32</t>
        </is>
      </c>
      <c r="B36" s="26" t="inlineStr">
        <is>
          <t>Web</t>
        </is>
      </c>
      <c r="C36" s="27" t="inlineStr">
        <is>
          <t>Quản lý gói dịch vụ</t>
        </is>
      </c>
      <c r="D36" s="27" t="inlineStr">
        <is>
          <t>/owner/packages</t>
        </is>
      </c>
      <c r="E36" s="26" t="inlineStr">
        <is>
          <t>Đã có placeholder</t>
        </is>
      </c>
      <c r="F36" s="26" t="n">
        <v>4</v>
      </c>
      <c r="G36" s="27" t="inlineStr">
        <is>
          <t>SPA-API-019, SPA-API-028, SPA-API-029, SPA-API-030</t>
        </is>
      </c>
      <c r="H36" s="27" t="inlineStr">
        <is>
          <t>UC-SPA-09</t>
        </is>
      </c>
      <c r="I36" s="26" t="inlineStr">
        <is>
          <t>Sprint 1</t>
        </is>
      </c>
    </row>
    <row r="37">
      <c r="A37" s="24" t="inlineStr">
        <is>
          <t>SCR-W33</t>
        </is>
      </c>
      <c r="B37" s="24" t="inlineStr">
        <is>
          <t>Web</t>
        </is>
      </c>
      <c r="C37" s="25" t="inlineStr">
        <is>
          <t>Nhân viên &amp; lịch làm việc</t>
        </is>
      </c>
      <c r="D37" s="25" t="inlineStr">
        <is>
          <t>/owner/staff</t>
        </is>
      </c>
      <c r="E37" s="24" t="inlineStr">
        <is>
          <t>Đã có placeholder</t>
        </is>
      </c>
      <c r="F37" s="24" t="n">
        <v>10</v>
      </c>
      <c r="G37" s="25" t="inlineStr">
        <is>
          <t>SPA-API-078, SPA-API-079, SPA-API-080, SPA-API-081, SPA-API-082, SPA-API-083, SPA-API-084, SPA-API-085, SPA-API-086, SPA-API-087</t>
        </is>
      </c>
      <c r="H37" s="25" t="inlineStr">
        <is>
          <t>UC-SPA-22, UC-SPA-23</t>
        </is>
      </c>
      <c r="I37" s="24" t="inlineStr">
        <is>
          <t>Sprint 1</t>
        </is>
      </c>
    </row>
    <row r="38">
      <c r="A38" s="26" t="inlineStr">
        <is>
          <t>SCR-W34</t>
        </is>
      </c>
      <c r="B38" s="26" t="inlineStr">
        <is>
          <t>Web</t>
        </is>
      </c>
      <c r="C38" s="27" t="inlineStr">
        <is>
          <t>Quản lý lịch hẹn</t>
        </is>
      </c>
      <c r="D38" s="27" t="inlineStr">
        <is>
          <t>/owner/bookings</t>
        </is>
      </c>
      <c r="E38" s="26" t="inlineStr">
        <is>
          <t>Đã có placeholder</t>
        </is>
      </c>
      <c r="F38" s="26" t="n">
        <v>8</v>
      </c>
      <c r="G38" s="27" t="inlineStr">
        <is>
          <t>SPA-API-051, SPA-API-058, SPA-API-059, SPA-API-060, SPA-API-061, SPA-API-062, SPA-API-063, SPA-API-064</t>
        </is>
      </c>
      <c r="H38" s="27" t="inlineStr">
        <is>
          <t>UC-SPA-17</t>
        </is>
      </c>
      <c r="I38" s="26" t="inlineStr">
        <is>
          <t>Sprint 1</t>
        </is>
      </c>
    </row>
    <row r="39">
      <c r="A39" s="24" t="inlineStr">
        <is>
          <t>SCR-W35</t>
        </is>
      </c>
      <c r="B39" s="24" t="inlineStr">
        <is>
          <t>Web</t>
        </is>
      </c>
      <c r="C39" s="25" t="inlineStr">
        <is>
          <t>Quản lý khuyến mãi</t>
        </is>
      </c>
      <c r="D39" s="25" t="inlineStr">
        <is>
          <t>/owner/promotions</t>
        </is>
      </c>
      <c r="E39" s="24" t="inlineStr">
        <is>
          <t>Đã có placeholder</t>
        </is>
      </c>
      <c r="F39" s="24" t="n">
        <v>5</v>
      </c>
      <c r="G39" s="25" t="inlineStr">
        <is>
          <t>SPA-API-046, SPA-API-047, SPA-API-048, SPA-API-049, SPA-API-050</t>
        </is>
      </c>
      <c r="H39" s="25" t="inlineStr">
        <is>
          <t>UC-SPA-14</t>
        </is>
      </c>
      <c r="I39" s="24" t="inlineStr">
        <is>
          <t>Sprint 2</t>
        </is>
      </c>
    </row>
    <row r="40">
      <c r="A40" s="26" t="inlineStr">
        <is>
          <t>SCR-W36</t>
        </is>
      </c>
      <c r="B40" s="26" t="inlineStr">
        <is>
          <t>Web</t>
        </is>
      </c>
      <c r="C40" s="27" t="inlineStr">
        <is>
          <t>Quản lý liệu trình</t>
        </is>
      </c>
      <c r="D40" s="27" t="inlineStr">
        <is>
          <t>/owner/treatments</t>
        </is>
      </c>
      <c r="E40" s="26" t="inlineStr">
        <is>
          <t>Đã có placeholder</t>
        </is>
      </c>
      <c r="F40" s="26" t="n">
        <v>5</v>
      </c>
      <c r="G40" s="27" t="inlineStr">
        <is>
          <t>SPA-API-073, SPA-API-074, SPA-API-075, SPA-API-076, SPA-API-077</t>
        </is>
      </c>
      <c r="H40" s="27" t="inlineStr">
        <is>
          <t>UC-SPA-21</t>
        </is>
      </c>
      <c r="I40" s="26" t="inlineStr">
        <is>
          <t>Sprint 2</t>
        </is>
      </c>
    </row>
    <row r="41">
      <c r="A41" s="24" t="inlineStr">
        <is>
          <t>SCR-W37</t>
        </is>
      </c>
      <c r="B41" s="24" t="inlineStr">
        <is>
          <t>Web</t>
        </is>
      </c>
      <c r="C41" s="25" t="inlineStr">
        <is>
          <t>Quản lý đơn hàng</t>
        </is>
      </c>
      <c r="D41" s="25" t="inlineStr">
        <is>
          <t>/owner/orders (repo hiện là /owner/payments)</t>
        </is>
      </c>
      <c r="E41" s="24" t="inlineStr">
        <is>
          <t>Có, cần đổi tên</t>
        </is>
      </c>
      <c r="F41" s="24" t="n">
        <v>3</v>
      </c>
      <c r="G41" s="25" t="inlineStr">
        <is>
          <t>SPA-API-043, SPA-API-044, SPA-API-045</t>
        </is>
      </c>
      <c r="H41" s="25" t="inlineStr">
        <is>
          <t>UC-SPA-13</t>
        </is>
      </c>
      <c r="I41" s="24" t="inlineStr">
        <is>
          <t>Sprint 2</t>
        </is>
      </c>
    </row>
    <row r="42">
      <c r="A42" s="26" t="inlineStr">
        <is>
          <t>SCR-W38</t>
        </is>
      </c>
      <c r="B42" s="26" t="inlineStr">
        <is>
          <t>Web</t>
        </is>
      </c>
      <c r="C42" s="27" t="inlineStr">
        <is>
          <t>Thống kê báo cáo doanh thu</t>
        </is>
      </c>
      <c r="D42" s="27" t="inlineStr">
        <is>
          <t>/owner/reports</t>
        </is>
      </c>
      <c r="E42" s="26" t="inlineStr">
        <is>
          <t>Đã có placeholder</t>
        </is>
      </c>
      <c r="F42" s="26" t="n">
        <v>3</v>
      </c>
      <c r="G42" s="27" t="inlineStr">
        <is>
          <t>SPA-API-107, SPA-API-108, SPA-API-109</t>
        </is>
      </c>
      <c r="H42" s="27" t="inlineStr">
        <is>
          <t>UC-SPA-33</t>
        </is>
      </c>
      <c r="I42" s="26" t="inlineStr">
        <is>
          <t>Sprint 3</t>
        </is>
      </c>
    </row>
    <row r="43">
      <c r="A43" s="24" t="inlineStr">
        <is>
          <t>SCR-W39</t>
        </is>
      </c>
      <c r="B43" s="24" t="inlineStr">
        <is>
          <t>Web</t>
        </is>
      </c>
      <c r="C43" s="25" t="inlineStr">
        <is>
          <t>Quản lý đánh giá</t>
        </is>
      </c>
      <c r="D43" s="25" t="inlineStr">
        <is>
          <t>/owner/reviews</t>
        </is>
      </c>
      <c r="E43" s="24" t="inlineStr">
        <is>
          <t>Đề xuất thêm</t>
        </is>
      </c>
      <c r="F43" s="24" t="n">
        <v>3</v>
      </c>
      <c r="G43" s="25" t="inlineStr">
        <is>
          <t>SPA-API-102, SPA-API-103, SPA-API-104</t>
        </is>
      </c>
      <c r="H43" s="25" t="inlineStr">
        <is>
          <t>UC-SPA-31</t>
        </is>
      </c>
      <c r="I43" s="24" t="inlineStr">
        <is>
          <t>Sprint 3</t>
        </is>
      </c>
    </row>
    <row r="44">
      <c r="A44" s="26" t="inlineStr">
        <is>
          <t>SCR-W40</t>
        </is>
      </c>
      <c r="B44" s="26" t="inlineStr">
        <is>
          <t>Web</t>
        </is>
      </c>
      <c r="C44" s="27" t="inlineStr">
        <is>
          <t>Quản lý tài khoản người dùng</t>
        </is>
      </c>
      <c r="D44" s="27" t="inlineStr">
        <is>
          <t>/owner/accounts</t>
        </is>
      </c>
      <c r="E44" s="26" t="inlineStr">
        <is>
          <t>Đề xuất thêm</t>
        </is>
      </c>
      <c r="F44" s="26" t="n">
        <v>4</v>
      </c>
      <c r="G44" s="27" t="inlineStr">
        <is>
          <t>SPA-API-013, SPA-API-014, SPA-API-015, SPA-API-016</t>
        </is>
      </c>
      <c r="H44" s="27" t="inlineStr">
        <is>
          <t>UC-SPA-05</t>
        </is>
      </c>
      <c r="I44" s="26" t="inlineStr">
        <is>
          <t>Sprint 2</t>
        </is>
      </c>
    </row>
    <row r="45">
      <c r="A45" s="24" t="inlineStr">
        <is>
          <t>SCR-M01</t>
        </is>
      </c>
      <c r="B45" s="24" t="inlineStr">
        <is>
          <t>Android</t>
        </is>
      </c>
      <c r="C45" s="25" t="inlineStr">
        <is>
          <t>Trang chủ</t>
        </is>
      </c>
      <c r="D45" s="25" t="inlineStr">
        <is>
          <t>app/index.tsx</t>
        </is>
      </c>
      <c r="E45" s="24" t="inlineStr">
        <is>
          <t>Đã có placeholder</t>
        </is>
      </c>
      <c r="F45" s="24" t="n">
        <v>1</v>
      </c>
      <c r="G45" s="25" t="inlineStr">
        <is>
          <t>SPA-API-017</t>
        </is>
      </c>
      <c r="H45" s="25" t="inlineStr">
        <is>
          <t>UC-SPA-06</t>
        </is>
      </c>
      <c r="I45" s="24" t="inlineStr">
        <is>
          <t>Sprint 1</t>
        </is>
      </c>
    </row>
    <row r="46">
      <c r="A46" s="26" t="inlineStr">
        <is>
          <t>SCR-M02</t>
        </is>
      </c>
      <c r="B46" s="26" t="inlineStr">
        <is>
          <t>Android</t>
        </is>
      </c>
      <c r="C46" s="27" t="inlineStr">
        <is>
          <t>Tìm kiếm dịch vụ</t>
        </is>
      </c>
      <c r="D46" s="27" t="inlineStr">
        <is>
          <t>app/(public)/services/index.tsx</t>
        </is>
      </c>
      <c r="E46" s="26" t="inlineStr">
        <is>
          <t>Đã có placeholder</t>
        </is>
      </c>
      <c r="F46" s="26" t="n">
        <v>4</v>
      </c>
      <c r="G46" s="27" t="inlineStr">
        <is>
          <t>SPA-API-017, SPA-API-021, SPA-API-022, SPA-API-032</t>
        </is>
      </c>
      <c r="H46" s="27" t="inlineStr">
        <is>
          <t>UC-SPA-06</t>
        </is>
      </c>
      <c r="I46" s="26" t="inlineStr">
        <is>
          <t>Sprint 1</t>
        </is>
      </c>
    </row>
    <row r="47">
      <c r="A47" s="24" t="inlineStr">
        <is>
          <t>SCR-M03</t>
        </is>
      </c>
      <c r="B47" s="24" t="inlineStr">
        <is>
          <t>Android</t>
        </is>
      </c>
      <c r="C47" s="25" t="inlineStr">
        <is>
          <t>Chi tiết dịch vụ</t>
        </is>
      </c>
      <c r="D47" s="25" t="inlineStr">
        <is>
          <t>app/(public)/services/[serviceId].tsx</t>
        </is>
      </c>
      <c r="E47" s="24" t="inlineStr">
        <is>
          <t>Đã có placeholder</t>
        </is>
      </c>
      <c r="F47" s="24" t="n">
        <v>3</v>
      </c>
      <c r="G47" s="25" t="inlineStr">
        <is>
          <t>SPA-API-018, SPA-API-032, SPA-API-098</t>
        </is>
      </c>
      <c r="H47" s="25" t="inlineStr">
        <is>
          <t>UC-SPA-07, UC-SPA-29</t>
        </is>
      </c>
      <c r="I47" s="24" t="inlineStr">
        <is>
          <t>Sprint 1</t>
        </is>
      </c>
    </row>
    <row r="48">
      <c r="A48" s="26" t="inlineStr">
        <is>
          <t>SCR-M04</t>
        </is>
      </c>
      <c r="B48" s="26" t="inlineStr">
        <is>
          <t>Android</t>
        </is>
      </c>
      <c r="C48" s="27" t="inlineStr">
        <is>
          <t>Gói dịch vụ</t>
        </is>
      </c>
      <c r="D48" s="27" t="inlineStr">
        <is>
          <t>app/(public)/packages/index.tsx</t>
        </is>
      </c>
      <c r="E48" s="26" t="inlineStr">
        <is>
          <t>Đã có placeholder</t>
        </is>
      </c>
      <c r="F48" s="26" t="n">
        <v>1</v>
      </c>
      <c r="G48" s="27" t="inlineStr">
        <is>
          <t>SPA-API-019</t>
        </is>
      </c>
      <c r="H48" s="27" t="inlineStr">
        <is>
          <t>UC-SPA-06</t>
        </is>
      </c>
      <c r="I48" s="26" t="inlineStr">
        <is>
          <t>Sprint 1</t>
        </is>
      </c>
    </row>
    <row r="49">
      <c r="A49" s="24" t="inlineStr">
        <is>
          <t>SCR-M05</t>
        </is>
      </c>
      <c r="B49" s="24" t="inlineStr">
        <is>
          <t>Android</t>
        </is>
      </c>
      <c r="C49" s="25" t="inlineStr">
        <is>
          <t>Chi tiết gói</t>
        </is>
      </c>
      <c r="D49" s="25" t="inlineStr">
        <is>
          <t>app/(public)/packages/[packageId].tsx</t>
        </is>
      </c>
      <c r="E49" s="24" t="inlineStr">
        <is>
          <t>Đã có placeholder</t>
        </is>
      </c>
      <c r="F49" s="24" t="n">
        <v>3</v>
      </c>
      <c r="G49" s="25" t="inlineStr">
        <is>
          <t>SPA-API-020, SPA-API-032, SPA-API-099</t>
        </is>
      </c>
      <c r="H49" s="25" t="inlineStr">
        <is>
          <t>UC-SPA-07, UC-SPA-29</t>
        </is>
      </c>
      <c r="I49" s="24" t="inlineStr">
        <is>
          <t>Sprint 1</t>
        </is>
      </c>
    </row>
    <row r="50">
      <c r="A50" s="26" t="inlineStr">
        <is>
          <t>SCR-M06</t>
        </is>
      </c>
      <c r="B50" s="26" t="inlineStr">
        <is>
          <t>Android</t>
        </is>
      </c>
      <c r="C50" s="27" t="inlineStr">
        <is>
          <t>Đăng nhập</t>
        </is>
      </c>
      <c r="D50" s="27" t="inlineStr">
        <is>
          <t>app/(public)/login.tsx</t>
        </is>
      </c>
      <c r="E50" s="26" t="inlineStr">
        <is>
          <t>Đã có placeholder</t>
        </is>
      </c>
      <c r="F50" s="26" t="n">
        <v>1</v>
      </c>
      <c r="G50" s="27" t="inlineStr">
        <is>
          <t>SPA-API-003</t>
        </is>
      </c>
      <c r="H50" s="27" t="inlineStr">
        <is>
          <t>UC-SPA-02</t>
        </is>
      </c>
      <c r="I50" s="26" t="inlineStr">
        <is>
          <t>Sprint 1</t>
        </is>
      </c>
    </row>
    <row r="51">
      <c r="A51" s="24" t="inlineStr">
        <is>
          <t>SCR-M07</t>
        </is>
      </c>
      <c r="B51" s="24" t="inlineStr">
        <is>
          <t>Android</t>
        </is>
      </c>
      <c r="C51" s="25" t="inlineStr">
        <is>
          <t>Đăng ký + OTP</t>
        </is>
      </c>
      <c r="D51" s="25" t="inlineStr">
        <is>
          <t>app/(public)/register.tsx</t>
        </is>
      </c>
      <c r="E51" s="24" t="inlineStr">
        <is>
          <t>Đã có placeholder</t>
        </is>
      </c>
      <c r="F51" s="24" t="n">
        <v>2</v>
      </c>
      <c r="G51" s="25" t="inlineStr">
        <is>
          <t>SPA-API-001, SPA-API-002</t>
        </is>
      </c>
      <c r="H51" s="25" t="inlineStr">
        <is>
          <t>UC-SPA-01</t>
        </is>
      </c>
      <c r="I51" s="24" t="inlineStr">
        <is>
          <t>Sprint 1</t>
        </is>
      </c>
    </row>
    <row r="52">
      <c r="A52" s="26" t="inlineStr">
        <is>
          <t>SCR-M08</t>
        </is>
      </c>
      <c r="B52" s="26" t="inlineStr">
        <is>
          <t>Android</t>
        </is>
      </c>
      <c r="C52" s="27" t="inlineStr">
        <is>
          <t>Quên mật khẩu</t>
        </is>
      </c>
      <c r="D52" s="27" t="inlineStr">
        <is>
          <t>app/(public)/forgot-password.tsx</t>
        </is>
      </c>
      <c r="E52" s="26" t="inlineStr">
        <is>
          <t>Đề xuất thêm</t>
        </is>
      </c>
      <c r="F52" s="26" t="n">
        <v>3</v>
      </c>
      <c r="G52" s="27" t="inlineStr">
        <is>
          <t>SPA-API-006, SPA-API-007, SPA-API-008</t>
        </is>
      </c>
      <c r="H52" s="27" t="inlineStr">
        <is>
          <t>UC-SPA-03</t>
        </is>
      </c>
      <c r="I52" s="26" t="inlineStr">
        <is>
          <t>Sprint 1</t>
        </is>
      </c>
    </row>
    <row r="53">
      <c r="A53" s="24" t="inlineStr">
        <is>
          <t>SCR-M09</t>
        </is>
      </c>
      <c r="B53" s="24" t="inlineStr">
        <is>
          <t>Android</t>
        </is>
      </c>
      <c r="C53" s="25" t="inlineStr">
        <is>
          <t>Giới thiệu spa</t>
        </is>
      </c>
      <c r="D53" s="25" t="inlineStr">
        <is>
          <t>app/(public)/about.tsx</t>
        </is>
      </c>
      <c r="E53" s="24" t="inlineStr">
        <is>
          <t>Đề xuất thêm</t>
        </is>
      </c>
      <c r="F53" s="24" t="n">
        <v>1</v>
      </c>
      <c r="G53" s="25" t="inlineStr">
        <is>
          <t>SPA-API-023</t>
        </is>
      </c>
      <c r="H53" s="25" t="inlineStr">
        <is>
          <t>UC-SPA-08</t>
        </is>
      </c>
      <c r="I53" s="24" t="inlineStr">
        <is>
          <t>Sprint 1</t>
        </is>
      </c>
    </row>
    <row r="54">
      <c r="A54" s="26" t="inlineStr">
        <is>
          <t>SCR-M10</t>
        </is>
      </c>
      <c r="B54" s="26" t="inlineStr">
        <is>
          <t>Android</t>
        </is>
      </c>
      <c r="C54" s="27" t="inlineStr">
        <is>
          <t>Trang chủ khách hàng</t>
        </is>
      </c>
      <c r="D54" s="27" t="inlineStr">
        <is>
          <t>app/(customer)/home.tsx</t>
        </is>
      </c>
      <c r="E54" s="26" t="inlineStr">
        <is>
          <t>Đã có placeholder</t>
        </is>
      </c>
      <c r="F54" s="26" t="n">
        <v>3</v>
      </c>
      <c r="G54" s="27" t="inlineStr">
        <is>
          <t>SPA-API-054, SPA-API-065, SPA-API-110</t>
        </is>
      </c>
      <c r="H54" s="27" t="inlineStr">
        <is>
          <t>UC-SPA-16, UC-SPA-18, UC-SPA-34</t>
        </is>
      </c>
      <c r="I54" s="26" t="inlineStr">
        <is>
          <t>Sprint 2</t>
        </is>
      </c>
    </row>
    <row r="55">
      <c r="A55" s="24" t="inlineStr">
        <is>
          <t>SCR-M11</t>
        </is>
      </c>
      <c r="B55" s="24" t="inlineStr">
        <is>
          <t>Android</t>
        </is>
      </c>
      <c r="C55" s="25" t="inlineStr">
        <is>
          <t>Lịch hẹn của tôi</t>
        </is>
      </c>
      <c r="D55" s="25" t="inlineStr">
        <is>
          <t>app/(customer)/bookings/index.tsx</t>
        </is>
      </c>
      <c r="E55" s="24" t="inlineStr">
        <is>
          <t>Đã có placeholder</t>
        </is>
      </c>
      <c r="F55" s="24" t="n">
        <v>1</v>
      </c>
      <c r="G55" s="25" t="inlineStr">
        <is>
          <t>SPA-API-054</t>
        </is>
      </c>
      <c r="H55" s="25" t="inlineStr">
        <is>
          <t>UC-SPA-16</t>
        </is>
      </c>
      <c r="I55" s="24" t="inlineStr">
        <is>
          <t>Sprint 2</t>
        </is>
      </c>
    </row>
    <row r="56">
      <c r="A56" s="26" t="inlineStr">
        <is>
          <t>SCR-M12</t>
        </is>
      </c>
      <c r="B56" s="26" t="inlineStr">
        <is>
          <t>Android</t>
        </is>
      </c>
      <c r="C56" s="27" t="inlineStr">
        <is>
          <t>Chi tiết lịch hẹn</t>
        </is>
      </c>
      <c r="D56" s="27" t="inlineStr">
        <is>
          <t>app/(customer)/bookings/[bookingId].tsx</t>
        </is>
      </c>
      <c r="E56" s="26" t="inlineStr">
        <is>
          <t>Đã có placeholder</t>
        </is>
      </c>
      <c r="F56" s="26" t="n">
        <v>4</v>
      </c>
      <c r="G56" s="27" t="inlineStr">
        <is>
          <t>SPA-API-051, SPA-API-055, SPA-API-056, SPA-API-057</t>
        </is>
      </c>
      <c r="H56" s="27" t="inlineStr">
        <is>
          <t>UC-SPA-16</t>
        </is>
      </c>
      <c r="I56" s="26" t="inlineStr">
        <is>
          <t>Sprint 2</t>
        </is>
      </c>
    </row>
    <row r="57">
      <c r="A57" s="24" t="inlineStr">
        <is>
          <t>SCR-M13</t>
        </is>
      </c>
      <c r="B57" s="24" t="inlineStr">
        <is>
          <t>Android</t>
        </is>
      </c>
      <c r="C57" s="25" t="inlineStr">
        <is>
          <t>Liệu trình</t>
        </is>
      </c>
      <c r="D57" s="25" t="inlineStr">
        <is>
          <t>app/(customer)/treatments/index.tsx</t>
        </is>
      </c>
      <c r="E57" s="24" t="inlineStr">
        <is>
          <t>Đã có placeholder</t>
        </is>
      </c>
      <c r="F57" s="24" t="n">
        <v>3</v>
      </c>
      <c r="G57" s="25" t="inlineStr">
        <is>
          <t>SPA-API-068, SPA-API-069, SPA-API-070</t>
        </is>
      </c>
      <c r="H57" s="25" t="inlineStr">
        <is>
          <t>UC-SPA-19</t>
        </is>
      </c>
      <c r="I57" s="24" t="inlineStr">
        <is>
          <t>Sprint 2</t>
        </is>
      </c>
    </row>
    <row r="58">
      <c r="A58" s="26" t="inlineStr">
        <is>
          <t>SCR-M14</t>
        </is>
      </c>
      <c r="B58" s="26" t="inlineStr">
        <is>
          <t>Android</t>
        </is>
      </c>
      <c r="C58" s="27" t="inlineStr">
        <is>
          <t>Dịch vụ và gói của tôi</t>
        </is>
      </c>
      <c r="D58" s="27" t="inlineStr">
        <is>
          <t>app/(customer)/packages/index.tsx</t>
        </is>
      </c>
      <c r="E58" s="26" t="inlineStr">
        <is>
          <t>Đã có placeholder</t>
        </is>
      </c>
      <c r="F58" s="26" t="n">
        <v>3</v>
      </c>
      <c r="G58" s="27" t="inlineStr">
        <is>
          <t>SPA-API-065, SPA-API-066, SPA-API-067</t>
        </is>
      </c>
      <c r="H58" s="27" t="inlineStr">
        <is>
          <t>UC-SPA-18</t>
        </is>
      </c>
      <c r="I58" s="26" t="inlineStr">
        <is>
          <t>Sprint 2</t>
        </is>
      </c>
    </row>
    <row r="59">
      <c r="A59" s="24" t="inlineStr">
        <is>
          <t>SCR-M15</t>
        </is>
      </c>
      <c r="B59" s="24" t="inlineStr">
        <is>
          <t>Android</t>
        </is>
      </c>
      <c r="C59" s="25" t="inlineStr">
        <is>
          <t>Cá nhân</t>
        </is>
      </c>
      <c r="D59" s="25" t="inlineStr">
        <is>
          <t>app/(customer)/profile.tsx</t>
        </is>
      </c>
      <c r="E59" s="24" t="inlineStr">
        <is>
          <t>Đã có placeholder</t>
        </is>
      </c>
      <c r="F59" s="24" t="n">
        <v>4</v>
      </c>
      <c r="G59" s="25" t="inlineStr">
        <is>
          <t>SPA-API-005, SPA-API-009, SPA-API-010, SPA-API-012</t>
        </is>
      </c>
      <c r="H59" s="25" t="inlineStr">
        <is>
          <t>UC-SPA-04</t>
        </is>
      </c>
      <c r="I59" s="24" t="inlineStr">
        <is>
          <t>Sprint 1</t>
        </is>
      </c>
    </row>
    <row r="60">
      <c r="A60" s="26" t="inlineStr">
        <is>
          <t>SCR-M16</t>
        </is>
      </c>
      <c r="B60" s="26" t="inlineStr">
        <is>
          <t>Android</t>
        </is>
      </c>
      <c r="C60" s="27" t="inlineStr">
        <is>
          <t>Trợ lý AI</t>
        </is>
      </c>
      <c r="D60" s="27" t="inlineStr">
        <is>
          <t>app/(customer)/ai-assistant.tsx</t>
        </is>
      </c>
      <c r="E60" s="26" t="inlineStr">
        <is>
          <t>Đã có placeholder</t>
        </is>
      </c>
      <c r="F60" s="26" t="n">
        <v>2</v>
      </c>
      <c r="G60" s="27" t="inlineStr">
        <is>
          <t>SPA-API-105, SPA-API-106</t>
        </is>
      </c>
      <c r="H60" s="27" t="inlineStr">
        <is>
          <t>UC-SPA-32</t>
        </is>
      </c>
      <c r="I60" s="26" t="inlineStr">
        <is>
          <t>Sprint 3</t>
        </is>
      </c>
    </row>
    <row r="61">
      <c r="A61" s="24" t="inlineStr">
        <is>
          <t>SCR-M17</t>
        </is>
      </c>
      <c r="B61" s="24" t="inlineStr">
        <is>
          <t>Android</t>
        </is>
      </c>
      <c r="C61" s="25" t="inlineStr">
        <is>
          <t>Đánh giá</t>
        </is>
      </c>
      <c r="D61" s="25" t="inlineStr">
        <is>
          <t>app/(customer)/reviews.tsx</t>
        </is>
      </c>
      <c r="E61" s="24" t="inlineStr">
        <is>
          <t>Đã có placeholder</t>
        </is>
      </c>
      <c r="F61" s="24" t="n">
        <v>2</v>
      </c>
      <c r="G61" s="25" t="inlineStr">
        <is>
          <t>SPA-API-100, SPA-API-101</t>
        </is>
      </c>
      <c r="H61" s="25" t="inlineStr">
        <is>
          <t>UC-SPA-30</t>
        </is>
      </c>
      <c r="I61" s="24" t="inlineStr">
        <is>
          <t>Sprint 2</t>
        </is>
      </c>
    </row>
    <row r="62">
      <c r="A62" s="26" t="inlineStr">
        <is>
          <t>SCR-M18</t>
        </is>
      </c>
      <c r="B62" s="26" t="inlineStr">
        <is>
          <t>Android</t>
        </is>
      </c>
      <c r="C62" s="27" t="inlineStr">
        <is>
          <t>Đặt lịch</t>
        </is>
      </c>
      <c r="D62" s="27" t="inlineStr">
        <is>
          <t>app/(customer)/booking/new.tsx</t>
        </is>
      </c>
      <c r="E62" s="26" t="inlineStr">
        <is>
          <t>Đề xuất thêm</t>
        </is>
      </c>
      <c r="F62" s="26" t="n">
        <v>4</v>
      </c>
      <c r="G62" s="27" t="inlineStr">
        <is>
          <t>SPA-API-051, SPA-API-052, SPA-API-053, SPA-API-078</t>
        </is>
      </c>
      <c r="H62" s="27" t="inlineStr">
        <is>
          <t>UC-SPA-15</t>
        </is>
      </c>
      <c r="I62" s="26" t="inlineStr">
        <is>
          <t>Sprint 1</t>
        </is>
      </c>
    </row>
    <row r="63">
      <c r="A63" s="24" t="inlineStr">
        <is>
          <t>SCR-M19</t>
        </is>
      </c>
      <c r="B63" s="24" t="inlineStr">
        <is>
          <t>Android</t>
        </is>
      </c>
      <c r="C63" s="25" t="inlineStr">
        <is>
          <t>Giỏ hàng &amp; thanh toán</t>
        </is>
      </c>
      <c r="D63" s="25" t="inlineStr">
        <is>
          <t>app/(customer)/cart.tsx, checkout.tsx</t>
        </is>
      </c>
      <c r="E63" s="24" t="inlineStr">
        <is>
          <t>Đề xuất thêm</t>
        </is>
      </c>
      <c r="F63" s="24" t="n">
        <v>6</v>
      </c>
      <c r="G63" s="25" t="inlineStr">
        <is>
          <t>SPA-API-031, SPA-API-033, SPA-API-034, SPA-API-035, SPA-API-036, SPA-API-037</t>
        </is>
      </c>
      <c r="H63" s="25" t="inlineStr">
        <is>
          <t>UC-SPA-10, UC-SPA-11</t>
        </is>
      </c>
      <c r="I63" s="24" t="inlineStr">
        <is>
          <t>Sprint 2</t>
        </is>
      </c>
    </row>
    <row r="64">
      <c r="A64" s="26" t="inlineStr">
        <is>
          <t>SCR-M20</t>
        </is>
      </c>
      <c r="B64" s="26" t="inlineStr">
        <is>
          <t>Android</t>
        </is>
      </c>
      <c r="C64" s="27" t="inlineStr">
        <is>
          <t>Đơn hàng của tôi</t>
        </is>
      </c>
      <c r="D64" s="27" t="inlineStr">
        <is>
          <t>app/(customer)/orders/index.tsx, [orderId].tsx</t>
        </is>
      </c>
      <c r="E64" s="26" t="inlineStr">
        <is>
          <t>Đề xuất thêm</t>
        </is>
      </c>
      <c r="F64" s="26" t="n">
        <v>4</v>
      </c>
      <c r="G64" s="27" t="inlineStr">
        <is>
          <t>SPA-API-037, SPA-API-040, SPA-API-041, SPA-API-042</t>
        </is>
      </c>
      <c r="H64" s="27" t="inlineStr">
        <is>
          <t>UC-SPA-12</t>
        </is>
      </c>
      <c r="I64" s="26" t="inlineStr">
        <is>
          <t>Sprint 2</t>
        </is>
      </c>
    </row>
    <row r="65">
      <c r="A65" s="24" t="inlineStr">
        <is>
          <t>SCR-M21</t>
        </is>
      </c>
      <c r="B65" s="24" t="inlineStr">
        <is>
          <t>Android</t>
        </is>
      </c>
      <c r="C65" s="25" t="inlineStr">
        <is>
          <t>Lịch sử sử dụng</t>
        </is>
      </c>
      <c r="D65" s="25" t="inlineStr">
        <is>
          <t>app/(customer)/history.tsx</t>
        </is>
      </c>
      <c r="E65" s="24" t="inlineStr">
        <is>
          <t>Đề xuất thêm</t>
        </is>
      </c>
      <c r="F65" s="24" t="n">
        <v>2</v>
      </c>
      <c r="G65" s="25" t="inlineStr">
        <is>
          <t>SPA-API-071, SPA-API-072</t>
        </is>
      </c>
      <c r="H65" s="25" t="inlineStr">
        <is>
          <t>UC-SPA-20</t>
        </is>
      </c>
      <c r="I65" s="24" t="inlineStr">
        <is>
          <t>Sprint 2</t>
        </is>
      </c>
    </row>
    <row r="66">
      <c r="A66" s="26" t="inlineStr">
        <is>
          <t>SCR-M22</t>
        </is>
      </c>
      <c r="B66" s="26" t="inlineStr">
        <is>
          <t>Android</t>
        </is>
      </c>
      <c r="C66" s="27" t="inlineStr">
        <is>
          <t>Thông báo</t>
        </is>
      </c>
      <c r="D66" s="27" t="inlineStr">
        <is>
          <t>app/(customer)/notifications.tsx, app/(staff)/notifications.tsx</t>
        </is>
      </c>
      <c r="E66" s="26" t="inlineStr">
        <is>
          <t>Đề xuất thêm</t>
        </is>
      </c>
      <c r="F66" s="26" t="n">
        <v>4</v>
      </c>
      <c r="G66" s="27" t="inlineStr">
        <is>
          <t>SPA-API-110, SPA-API-111, SPA-API-112, SPA-API-113</t>
        </is>
      </c>
      <c r="H66" s="27" t="inlineStr">
        <is>
          <t>UC-SPA-34</t>
        </is>
      </c>
      <c r="I66" s="26" t="inlineStr">
        <is>
          <t>Sprint 3</t>
        </is>
      </c>
    </row>
    <row r="67">
      <c r="A67" s="24" t="inlineStr">
        <is>
          <t>SCR-M23</t>
        </is>
      </c>
      <c r="B67" s="24" t="inlineStr">
        <is>
          <t>Android</t>
        </is>
      </c>
      <c r="C67" s="25" t="inlineStr">
        <is>
          <t>Tổng quan nhân viên</t>
        </is>
      </c>
      <c r="D67" s="25" t="inlineStr">
        <is>
          <t>app/(staff)/dashboard.tsx</t>
        </is>
      </c>
      <c r="E67" s="24" t="inlineStr">
        <is>
          <t>Đã có placeholder</t>
        </is>
      </c>
      <c r="F67" s="24" t="n">
        <v>2</v>
      </c>
      <c r="G67" s="25" t="inlineStr">
        <is>
          <t>SPA-API-088, SPA-API-090</t>
        </is>
      </c>
      <c r="H67" s="25" t="inlineStr">
        <is>
          <t>UC-SPA-24, UC-SPA-25</t>
        </is>
      </c>
      <c r="I67" s="24" t="inlineStr">
        <is>
          <t>Sprint 2</t>
        </is>
      </c>
    </row>
    <row r="68">
      <c r="A68" s="26" t="inlineStr">
        <is>
          <t>SCR-M24</t>
        </is>
      </c>
      <c r="B68" s="26" t="inlineStr">
        <is>
          <t>Android</t>
        </is>
      </c>
      <c r="C68" s="27" t="inlineStr">
        <is>
          <t>Lịch làm việc</t>
        </is>
      </c>
      <c r="D68" s="27" t="inlineStr">
        <is>
          <t>app/(staff)/schedule.tsx</t>
        </is>
      </c>
      <c r="E68" s="26" t="inlineStr">
        <is>
          <t>Đã có placeholder</t>
        </is>
      </c>
      <c r="F68" s="26" t="n">
        <v>2</v>
      </c>
      <c r="G68" s="27" t="inlineStr">
        <is>
          <t>SPA-API-088, SPA-API-089</t>
        </is>
      </c>
      <c r="H68" s="27" t="inlineStr">
        <is>
          <t>UC-SPA-24</t>
        </is>
      </c>
      <c r="I68" s="26" t="inlineStr">
        <is>
          <t>Sprint 2</t>
        </is>
      </c>
    </row>
    <row r="69">
      <c r="A69" s="24" t="inlineStr">
        <is>
          <t>SCR-M25</t>
        </is>
      </c>
      <c r="B69" s="24" t="inlineStr">
        <is>
          <t>Android</t>
        </is>
      </c>
      <c r="C69" s="25" t="inlineStr">
        <is>
          <t>Lịch hẹn được phân công</t>
        </is>
      </c>
      <c r="D69" s="25" t="inlineStr">
        <is>
          <t>app/(staff)/bookings/index.tsx</t>
        </is>
      </c>
      <c r="E69" s="24" t="inlineStr">
        <is>
          <t>Đã có placeholder</t>
        </is>
      </c>
      <c r="F69" s="24" t="n">
        <v>1</v>
      </c>
      <c r="G69" s="25" t="inlineStr">
        <is>
          <t>SPA-API-090</t>
        </is>
      </c>
      <c r="H69" s="25" t="inlineStr">
        <is>
          <t>UC-SPA-25</t>
        </is>
      </c>
      <c r="I69" s="24" t="inlineStr">
        <is>
          <t>Sprint 2</t>
        </is>
      </c>
    </row>
    <row r="70">
      <c r="A70" s="26" t="inlineStr">
        <is>
          <t>SCR-M26</t>
        </is>
      </c>
      <c r="B70" s="26" t="inlineStr">
        <is>
          <t>Android</t>
        </is>
      </c>
      <c r="C70" s="27" t="inlineStr">
        <is>
          <t>Buổi chăm sóc</t>
        </is>
      </c>
      <c r="D70" s="27" t="inlineStr">
        <is>
          <t>app/(staff)/bookings/[bookingId].tsx</t>
        </is>
      </c>
      <c r="E70" s="26" t="inlineStr">
        <is>
          <t>Đã có placeholder</t>
        </is>
      </c>
      <c r="F70" s="26" t="n">
        <v>7</v>
      </c>
      <c r="G70" s="27" t="inlineStr">
        <is>
          <t>SPA-API-059, SPA-API-092, SPA-API-093, SPA-API-094, SPA-API-095, SPA-API-096, SPA-API-097</t>
        </is>
      </c>
      <c r="H70" s="27" t="inlineStr">
        <is>
          <t>UC-SPA-25, UC-SPA-27, UC-SPA-28</t>
        </is>
      </c>
      <c r="I70" s="26" t="inlineStr">
        <is>
          <t>Sprint 2</t>
        </is>
      </c>
    </row>
    <row r="71">
      <c r="A71" s="24" t="inlineStr">
        <is>
          <t>SCR-M27</t>
        </is>
      </c>
      <c r="B71" s="24" t="inlineStr">
        <is>
          <t>Android</t>
        </is>
      </c>
      <c r="C71" s="25" t="inlineStr">
        <is>
          <t>Lịch sử khách đã chăm sóc</t>
        </is>
      </c>
      <c r="D71" s="25" t="inlineStr">
        <is>
          <t>app/(staff)/care-history.tsx</t>
        </is>
      </c>
      <c r="E71" s="24" t="inlineStr">
        <is>
          <t>Đề xuất thêm</t>
        </is>
      </c>
      <c r="F71" s="24" t="n">
        <v>1</v>
      </c>
      <c r="G71" s="25" t="inlineStr">
        <is>
          <t>SPA-API-091</t>
        </is>
      </c>
      <c r="H71" s="25" t="inlineStr">
        <is>
          <t>UC-SPA-26</t>
        </is>
      </c>
      <c r="I71" s="24" t="inlineStr">
        <is>
          <t>Sprint 2</t>
        </is>
      </c>
    </row>
    <row r="72">
      <c r="A72" s="26" t="inlineStr">
        <is>
          <t>SCR-M28</t>
        </is>
      </c>
      <c r="B72" s="26" t="inlineStr">
        <is>
          <t>Android</t>
        </is>
      </c>
      <c r="C72" s="27" t="inlineStr">
        <is>
          <t>Tổng quan</t>
        </is>
      </c>
      <c r="D72" s="27" t="inlineStr">
        <is>
          <t>app/(owner)/dashboard.tsx</t>
        </is>
      </c>
      <c r="E72" s="26" t="inlineStr">
        <is>
          <t>Đã có placeholder</t>
        </is>
      </c>
      <c r="F72" s="26" t="n">
        <v>1</v>
      </c>
      <c r="G72" s="27" t="inlineStr">
        <is>
          <t>SPA-API-107</t>
        </is>
      </c>
      <c r="H72" s="27" t="inlineStr">
        <is>
          <t>UC-SPA-33</t>
        </is>
      </c>
      <c r="I72" s="26" t="inlineStr">
        <is>
          <t>Sprint 3</t>
        </is>
      </c>
    </row>
    <row r="73">
      <c r="A73" s="24" t="inlineStr">
        <is>
          <t>SCR-M29</t>
        </is>
      </c>
      <c r="B73" s="24" t="inlineStr">
        <is>
          <t>Android</t>
        </is>
      </c>
      <c r="C73" s="25" t="inlineStr">
        <is>
          <t>Dịch vụ (xem nhanh)</t>
        </is>
      </c>
      <c r="D73" s="25" t="inlineStr">
        <is>
          <t>app/(owner)/services.tsx</t>
        </is>
      </c>
      <c r="E73" s="24" t="inlineStr">
        <is>
          <t>Đã có placeholder</t>
        </is>
      </c>
      <c r="F73" s="24" t="n">
        <v>2</v>
      </c>
      <c r="G73" s="25" t="inlineStr">
        <is>
          <t>SPA-API-017, SPA-API-026</t>
        </is>
      </c>
      <c r="H73" s="25" t="inlineStr">
        <is>
          <t>UC-SPA-09</t>
        </is>
      </c>
      <c r="I73" s="24" t="inlineStr">
        <is>
          <t>Sprint 3</t>
        </is>
      </c>
    </row>
    <row r="74">
      <c r="A74" s="26" t="inlineStr">
        <is>
          <t>SCR-M30</t>
        </is>
      </c>
      <c r="B74" s="26" t="inlineStr">
        <is>
          <t>Android</t>
        </is>
      </c>
      <c r="C74" s="27" t="inlineStr">
        <is>
          <t>Nhân viên (xem nhanh)</t>
        </is>
      </c>
      <c r="D74" s="27" t="inlineStr">
        <is>
          <t>app/(owner)/staff.tsx</t>
        </is>
      </c>
      <c r="E74" s="26" t="inlineStr">
        <is>
          <t>Đã có placeholder</t>
        </is>
      </c>
      <c r="F74" s="26" t="n">
        <v>2</v>
      </c>
      <c r="G74" s="27" t="inlineStr">
        <is>
          <t>SPA-API-078, SPA-API-084</t>
        </is>
      </c>
      <c r="H74" s="27" t="inlineStr">
        <is>
          <t>UC-SPA-22, UC-SPA-23</t>
        </is>
      </c>
      <c r="I74" s="26" t="inlineStr">
        <is>
          <t>Sprint 3</t>
        </is>
      </c>
    </row>
    <row r="75">
      <c r="A75" s="24" t="inlineStr">
        <is>
          <t>SCR-M31</t>
        </is>
      </c>
      <c r="B75" s="24" t="inlineStr">
        <is>
          <t>Android</t>
        </is>
      </c>
      <c r="C75" s="25" t="inlineStr">
        <is>
          <t>Lịch hẹn</t>
        </is>
      </c>
      <c r="D75" s="25" t="inlineStr">
        <is>
          <t>app/(owner)/bookings.tsx</t>
        </is>
      </c>
      <c r="E75" s="24" t="inlineStr">
        <is>
          <t>Đã có placeholder</t>
        </is>
      </c>
      <c r="F75" s="24" t="n">
        <v>5</v>
      </c>
      <c r="G75" s="25" t="inlineStr">
        <is>
          <t>SPA-API-058, SPA-API-059, SPA-API-060, SPA-API-062, SPA-API-063</t>
        </is>
      </c>
      <c r="H75" s="25" t="inlineStr">
        <is>
          <t>UC-SPA-17</t>
        </is>
      </c>
      <c r="I75" s="24" t="inlineStr">
        <is>
          <t>Sprint 3</t>
        </is>
      </c>
    </row>
    <row r="76">
      <c r="A76" s="26" t="inlineStr">
        <is>
          <t>SCR-M32</t>
        </is>
      </c>
      <c r="B76" s="26" t="inlineStr">
        <is>
          <t>Android</t>
        </is>
      </c>
      <c r="C76" s="27" t="inlineStr">
        <is>
          <t>Báo cáo</t>
        </is>
      </c>
      <c r="D76" s="27" t="inlineStr">
        <is>
          <t>app/(owner)/reports.tsx</t>
        </is>
      </c>
      <c r="E76" s="26" t="inlineStr">
        <is>
          <t>Đã có placeholder</t>
        </is>
      </c>
      <c r="F76" s="26" t="n">
        <v>1</v>
      </c>
      <c r="G76" s="27" t="inlineStr">
        <is>
          <t>SPA-API-107</t>
        </is>
      </c>
      <c r="H76" s="27" t="inlineStr">
        <is>
          <t>UC-SPA-33</t>
        </is>
      </c>
      <c r="I76" s="26" t="inlineStr">
        <is>
          <t>Sprint 3</t>
        </is>
      </c>
    </row>
  </sheetData>
  <autoFilter ref="A4:I76"/>
  <mergeCells count="3">
    <mergeCell ref="A1:I1"/>
    <mergeCell ref="A3:I3"/>
    <mergeCell ref="A2:I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33"/>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60" customWidth="1" min="3" max="3"/>
    <col width="14" customWidth="1" min="4" max="4"/>
    <col width="8" customWidth="1" min="5" max="5"/>
    <col width="8" customWidth="1" min="6" max="6"/>
    <col width="10" customWidth="1" min="7" max="7"/>
    <col width="70" customWidth="1" min="8" max="8"/>
  </cols>
  <sheetData>
    <row r="1" ht="26" customHeight="1">
      <c r="A1" s="1" t="inlineStr">
        <is>
          <t>17 · DANH MỤC BẢNG CSDL (POSTGRESQL)</t>
        </is>
      </c>
    </row>
    <row r="2">
      <c r="A2" s="2" t="inlineStr">
        <is>
          <t>26 bảng theo DA + 3 bảng đề xuất bổ sung</t>
        </is>
      </c>
    </row>
    <row r="3" ht="30" customHeight="1">
      <c r="A3" s="3" t="inlineStr">
        <is>
          <t>Tên bảng/cột giữ nguyên theo mục 'Phân tích dữ liệu' của DA. Bảng nguồn 'ĐX' không có trong DA (xem RS-17).</t>
        </is>
      </c>
    </row>
    <row r="4" ht="32" customHeight="1">
      <c r="A4" s="4" t="inlineStr">
        <is>
          <t>Nhóm</t>
        </is>
      </c>
      <c r="B4" s="4" t="inlineStr">
        <is>
          <t>Bảng</t>
        </is>
      </c>
      <c r="C4" s="4" t="inlineStr">
        <is>
          <t>Mục đích</t>
        </is>
      </c>
      <c r="D4" s="4" t="inlineStr">
        <is>
          <t>Nguồn</t>
        </is>
      </c>
      <c r="E4" s="4" t="inlineStr">
        <is>
          <t>Số cột</t>
        </is>
      </c>
      <c r="F4" s="4" t="inlineStr">
        <is>
          <t>Số FK</t>
        </is>
      </c>
      <c r="G4" s="4" t="inlineStr">
        <is>
          <t>Sprint</t>
        </is>
      </c>
      <c r="H4" s="4" t="inlineStr">
        <is>
          <t>UC liên quan</t>
        </is>
      </c>
    </row>
    <row r="5">
      <c r="A5" s="24" t="inlineStr">
        <is>
          <t>AUTH</t>
        </is>
      </c>
      <c r="B5" s="25" t="inlineStr">
        <is>
          <t>NguoiDung</t>
        </is>
      </c>
      <c r="C5" s="25" t="inlineStr">
        <is>
          <t>Tài khoản dùng chung cho khách hàng, nhân viên, chủ spa</t>
        </is>
      </c>
      <c r="D5" s="24" t="inlineStr">
        <is>
          <t>DA</t>
        </is>
      </c>
      <c r="E5" s="24" t="n">
        <v>12</v>
      </c>
      <c r="F5" s="24" t="n">
        <v>0</v>
      </c>
      <c r="G5" s="24" t="inlineStr">
        <is>
          <t>Sprint 1</t>
        </is>
      </c>
      <c r="H5" s="25" t="inlineStr">
        <is>
          <t>UC-SPA-01, UC-SPA-02, UC-SPA-03, UC-SPA-04, UC-SPA-05, UC-SPA-22, UC-SPA-25</t>
        </is>
      </c>
    </row>
    <row r="6">
      <c r="A6" s="26" t="inlineStr">
        <is>
          <t>AUTH</t>
        </is>
      </c>
      <c r="B6" s="27" t="inlineStr">
        <is>
          <t>ChuSpa</t>
        </is>
      </c>
      <c r="C6" s="27" t="inlineStr">
        <is>
          <t>Thông tin riêng của chủ spa (1-1 với NguoiDung)</t>
        </is>
      </c>
      <c r="D6" s="26" t="inlineStr">
        <is>
          <t>DA</t>
        </is>
      </c>
      <c r="E6" s="26" t="n">
        <v>2</v>
      </c>
      <c r="F6" s="26" t="n">
        <v>1</v>
      </c>
      <c r="G6" s="26" t="inlineStr">
        <is>
          <t>Sprint 1</t>
        </is>
      </c>
      <c r="H6" s="27" t="inlineStr">
        <is>
          <t>UC-SPA-04</t>
        </is>
      </c>
    </row>
    <row r="7">
      <c r="A7" s="24" t="inlineStr">
        <is>
          <t>AUTH</t>
        </is>
      </c>
      <c r="B7" s="25" t="inlineStr">
        <is>
          <t>KhachHang</t>
        </is>
      </c>
      <c r="C7" s="25" t="inlineStr">
        <is>
          <t>Thông tin riêng của khách hàng (1-1 với NguoiDung)</t>
        </is>
      </c>
      <c r="D7" s="24" t="inlineStr">
        <is>
          <t>DA</t>
        </is>
      </c>
      <c r="E7" s="24" t="n">
        <v>2</v>
      </c>
      <c r="F7" s="24" t="n">
        <v>1</v>
      </c>
      <c r="G7" s="24" t="inlineStr">
        <is>
          <t>Sprint 1</t>
        </is>
      </c>
      <c r="H7" s="25" t="inlineStr">
        <is>
          <t>UC-SPA-01, UC-SPA-04, UC-SPA-05, UC-SPA-25, UC-SPA-26</t>
        </is>
      </c>
    </row>
    <row r="8">
      <c r="A8" s="26" t="inlineStr">
        <is>
          <t>STF</t>
        </is>
      </c>
      <c r="B8" s="27" t="inlineStr">
        <is>
          <t>NhanVien</t>
        </is>
      </c>
      <c r="C8" s="27" t="inlineStr">
        <is>
          <t>Thông tin riêng của nhân viên (1-1 với NguoiDung)</t>
        </is>
      </c>
      <c r="D8" s="26" t="inlineStr">
        <is>
          <t>DA</t>
        </is>
      </c>
      <c r="E8" s="26" t="n">
        <v>4</v>
      </c>
      <c r="F8" s="26" t="n">
        <v>1</v>
      </c>
      <c r="G8" s="26" t="inlineStr">
        <is>
          <t>Sprint 1</t>
        </is>
      </c>
      <c r="H8" s="27" t="inlineStr">
        <is>
          <t>UC-SPA-04, UC-SPA-05, UC-SPA-17, UC-SPA-20, UC-SPA-22, UC-SPA-23</t>
        </is>
      </c>
    </row>
    <row r="9">
      <c r="A9" s="24" t="inlineStr">
        <is>
          <t>CAT</t>
        </is>
      </c>
      <c r="B9" s="25" t="inlineStr">
        <is>
          <t>DichVu</t>
        </is>
      </c>
      <c r="C9" s="25" t="inlineStr">
        <is>
          <t>Dịch vụ chăm sóc da lẻ</t>
        </is>
      </c>
      <c r="D9" s="24" t="inlineStr">
        <is>
          <t>DA</t>
        </is>
      </c>
      <c r="E9" s="24" t="n">
        <v>10</v>
      </c>
      <c r="F9" s="24" t="n">
        <v>0</v>
      </c>
      <c r="G9" s="24" t="inlineStr">
        <is>
          <t>Sprint 1</t>
        </is>
      </c>
      <c r="H9" s="25" t="inlineStr">
        <is>
          <t>UC-SPA-06, UC-SPA-07, UC-SPA-09, UC-SPA-10, UC-SPA-15, UC-SPA-20, UC-SPA-25, UC-SPA-29, UC-SPA-32</t>
        </is>
      </c>
    </row>
    <row r="10">
      <c r="A10" s="26" t="inlineStr">
        <is>
          <t>CAT</t>
        </is>
      </c>
      <c r="B10" s="27" t="inlineStr">
        <is>
          <t>GoiDichVu</t>
        </is>
      </c>
      <c r="C10" s="27" t="inlineStr">
        <is>
          <t>Gói dịch vụ nhiều buổi</t>
        </is>
      </c>
      <c r="D10" s="26" t="inlineStr">
        <is>
          <t>DA</t>
        </is>
      </c>
      <c r="E10" s="26" t="n">
        <v>10</v>
      </c>
      <c r="F10" s="26" t="n">
        <v>0</v>
      </c>
      <c r="G10" s="26" t="inlineStr">
        <is>
          <t>Sprint 1</t>
        </is>
      </c>
      <c r="H10" s="27" t="inlineStr">
        <is>
          <t>UC-SPA-06, UC-SPA-07, UC-SPA-09, UC-SPA-10, UC-SPA-29, UC-SPA-32</t>
        </is>
      </c>
    </row>
    <row r="11">
      <c r="A11" s="24" t="inlineStr">
        <is>
          <t>CAT</t>
        </is>
      </c>
      <c r="B11" s="25" t="inlineStr">
        <is>
          <t>GoiDichVuChiTiet</t>
        </is>
      </c>
      <c r="C11" s="25" t="inlineStr">
        <is>
          <t>Dịch vụ thành phần của gói, số buổi, thứ tự, khoảng cách</t>
        </is>
      </c>
      <c r="D11" s="24" t="inlineStr">
        <is>
          <t>DA</t>
        </is>
      </c>
      <c r="E11" s="24" t="n">
        <v>7</v>
      </c>
      <c r="F11" s="24" t="n">
        <v>2</v>
      </c>
      <c r="G11" s="24" t="inlineStr">
        <is>
          <t>Sprint 1</t>
        </is>
      </c>
      <c r="H11" s="25" t="inlineStr">
        <is>
          <t>UC-SPA-06, UC-SPA-07, UC-SPA-09, UC-SPA-15</t>
        </is>
      </c>
    </row>
    <row r="12">
      <c r="A12" s="26" t="inlineStr">
        <is>
          <t>STF</t>
        </is>
      </c>
      <c r="B12" s="27" t="inlineStr">
        <is>
          <t>NhanVien_DichVu</t>
        </is>
      </c>
      <c r="C12" s="27" t="inlineStr">
        <is>
          <t>Kỹ năng: nhân viên thực hiện được dịch vụ nào</t>
        </is>
      </c>
      <c r="D12" s="26" t="inlineStr">
        <is>
          <t>DA</t>
        </is>
      </c>
      <c r="E12" s="26" t="n">
        <v>2</v>
      </c>
      <c r="F12" s="26" t="n">
        <v>2</v>
      </c>
      <c r="G12" s="26" t="inlineStr">
        <is>
          <t>Sprint 1</t>
        </is>
      </c>
      <c r="H12" s="27" t="inlineStr">
        <is>
          <t>UC-SPA-15, UC-SPA-17, UC-SPA-22</t>
        </is>
      </c>
    </row>
    <row r="13">
      <c r="A13" s="24" t="inlineStr">
        <is>
          <t>STF</t>
        </is>
      </c>
      <c r="B13" s="25" t="inlineStr">
        <is>
          <t>LichLamViec</t>
        </is>
      </c>
      <c r="C13" s="25" t="inlineStr">
        <is>
          <t>Ca làm việc của nhân viên</t>
        </is>
      </c>
      <c r="D13" s="24" t="inlineStr">
        <is>
          <t>DA</t>
        </is>
      </c>
      <c r="E13" s="24" t="n">
        <v>6</v>
      </c>
      <c r="F13" s="24" t="n">
        <v>1</v>
      </c>
      <c r="G13" s="24" t="inlineStr">
        <is>
          <t>Sprint 1</t>
        </is>
      </c>
      <c r="H13" s="25" t="inlineStr">
        <is>
          <t>UC-SPA-15, UC-SPA-16, UC-SPA-17, UC-SPA-23, UC-SPA-24</t>
        </is>
      </c>
    </row>
    <row r="14">
      <c r="A14" s="26" t="inlineStr">
        <is>
          <t>PRM</t>
        </is>
      </c>
      <c r="B14" s="27" t="inlineStr">
        <is>
          <t>KhuyenMai</t>
        </is>
      </c>
      <c r="C14" s="27" t="inlineStr">
        <is>
          <t>Chương trình khuyến mãi</t>
        </is>
      </c>
      <c r="D14" s="26" t="inlineStr">
        <is>
          <t>DA</t>
        </is>
      </c>
      <c r="E14" s="26" t="n">
        <v>12</v>
      </c>
      <c r="F14" s="26" t="n">
        <v>0</v>
      </c>
      <c r="G14" s="26" t="inlineStr">
        <is>
          <t>Sprint 2</t>
        </is>
      </c>
      <c r="H14" s="27" t="inlineStr">
        <is>
          <t>UC-SPA-11, UC-SPA-14</t>
        </is>
      </c>
    </row>
    <row r="15">
      <c r="A15" s="24" t="inlineStr">
        <is>
          <t>ORD</t>
        </is>
      </c>
      <c r="B15" s="25" t="inlineStr">
        <is>
          <t>GioHang</t>
        </is>
      </c>
      <c r="C15" s="25" t="inlineStr">
        <is>
          <t>Giỏ hàng (mỗi khách 1 giỏ)</t>
        </is>
      </c>
      <c r="D15" s="24" t="inlineStr">
        <is>
          <t>DA</t>
        </is>
      </c>
      <c r="E15" s="24" t="n">
        <v>4</v>
      </c>
      <c r="F15" s="24" t="n">
        <v>1</v>
      </c>
      <c r="G15" s="24" t="inlineStr">
        <is>
          <t>Sprint 2</t>
        </is>
      </c>
      <c r="H15" s="25" t="inlineStr">
        <is>
          <t>UC-SPA-10</t>
        </is>
      </c>
    </row>
    <row r="16">
      <c r="A16" s="26" t="inlineStr">
        <is>
          <t>ORD</t>
        </is>
      </c>
      <c r="B16" s="27" t="inlineStr">
        <is>
          <t>ChiTietGioHang</t>
        </is>
      </c>
      <c r="C16" s="27" t="inlineStr">
        <is>
          <t>Sản phẩm trong giỏ</t>
        </is>
      </c>
      <c r="D16" s="26" t="inlineStr">
        <is>
          <t>DA</t>
        </is>
      </c>
      <c r="E16" s="26" t="n">
        <v>6</v>
      </c>
      <c r="F16" s="26" t="n">
        <v>3</v>
      </c>
      <c r="G16" s="26" t="inlineStr">
        <is>
          <t>Sprint 2</t>
        </is>
      </c>
      <c r="H16" s="27" t="inlineStr">
        <is>
          <t>UC-SPA-10, UC-SPA-11</t>
        </is>
      </c>
    </row>
    <row r="17">
      <c r="A17" s="24" t="inlineStr">
        <is>
          <t>ORD</t>
        </is>
      </c>
      <c r="B17" s="25" t="inlineStr">
        <is>
          <t>DonHang</t>
        </is>
      </c>
      <c r="C17" s="25" t="inlineStr">
        <is>
          <t>Đơn hàng</t>
        </is>
      </c>
      <c r="D17" s="24" t="inlineStr">
        <is>
          <t>DA</t>
        </is>
      </c>
      <c r="E17" s="24" t="n">
        <v>11</v>
      </c>
      <c r="F17" s="24" t="n">
        <v>1</v>
      </c>
      <c r="G17" s="24" t="inlineStr">
        <is>
          <t>Sprint 2</t>
        </is>
      </c>
      <c r="H17" s="25" t="inlineStr">
        <is>
          <t>UC-SPA-11, UC-SPA-12, UC-SPA-13, UC-SPA-15, UC-SPA-18, UC-SPA-33</t>
        </is>
      </c>
    </row>
    <row r="18">
      <c r="A18" s="26" t="inlineStr">
        <is>
          <t>ORD</t>
        </is>
      </c>
      <c r="B18" s="27" t="inlineStr">
        <is>
          <t>ChiTietDonHang</t>
        </is>
      </c>
      <c r="C18" s="27" t="inlineStr">
        <is>
          <t>Sản phẩm trong đơn (snapshot tên, giá)</t>
        </is>
      </c>
      <c r="D18" s="26" t="inlineStr">
        <is>
          <t>DA</t>
        </is>
      </c>
      <c r="E18" s="26" t="n">
        <v>9</v>
      </c>
      <c r="F18" s="26" t="n">
        <v>3</v>
      </c>
      <c r="G18" s="26" t="inlineStr">
        <is>
          <t>Sprint 2</t>
        </is>
      </c>
      <c r="H18" s="27" t="inlineStr">
        <is>
          <t>UC-SPA-11, UC-SPA-12, UC-SPA-13, UC-SPA-15, UC-SPA-18, UC-SPA-33</t>
        </is>
      </c>
    </row>
    <row r="19">
      <c r="A19" s="24" t="inlineStr">
        <is>
          <t>ORD</t>
        </is>
      </c>
      <c r="B19" s="25" t="inlineStr">
        <is>
          <t>ThanhToan</t>
        </is>
      </c>
      <c r="C19" s="25" t="inlineStr">
        <is>
          <t>Lần thanh toán qua cổng (một đơn có thể nhiều lần thử)</t>
        </is>
      </c>
      <c r="D19" s="24" t="inlineStr">
        <is>
          <t>DA</t>
        </is>
      </c>
      <c r="E19" s="24" t="n">
        <v>12</v>
      </c>
      <c r="F19" s="24" t="n">
        <v>1</v>
      </c>
      <c r="G19" s="24" t="inlineStr">
        <is>
          <t>Sprint 2</t>
        </is>
      </c>
      <c r="H19" s="25" t="inlineStr">
        <is>
          <t>UC-SPA-11, UC-SPA-12, UC-SPA-13, UC-SPA-33</t>
        </is>
      </c>
    </row>
    <row r="20">
      <c r="A20" s="26" t="inlineStr">
        <is>
          <t>PRM</t>
        </is>
      </c>
      <c r="B20" s="27" t="inlineStr">
        <is>
          <t>ApDungKhuyenMai</t>
        </is>
      </c>
      <c r="C20" s="27" t="inlineStr">
        <is>
          <t>Khuyến mãi áp dụng cho đơn (1 đơn tối đa 1 mã)</t>
        </is>
      </c>
      <c r="D20" s="26" t="inlineStr">
        <is>
          <t>DA</t>
        </is>
      </c>
      <c r="E20" s="26" t="n">
        <v>6</v>
      </c>
      <c r="F20" s="26" t="n">
        <v>2</v>
      </c>
      <c r="G20" s="26" t="inlineStr">
        <is>
          <t>Sprint 2</t>
        </is>
      </c>
      <c r="H20" s="27" t="inlineStr">
        <is>
          <t>UC-SPA-11, UC-SPA-14</t>
        </is>
      </c>
    </row>
    <row r="21">
      <c r="A21" s="24" t="inlineStr">
        <is>
          <t>TRT</t>
        </is>
      </c>
      <c r="B21" s="25" t="inlineStr">
        <is>
          <t>DichVuKhachHang</t>
        </is>
      </c>
      <c r="C21" s="25" t="inlineStr">
        <is>
          <t>Quyền sử dụng một dịch vụ lẻ đã mua</t>
        </is>
      </c>
      <c r="D21" s="24" t="inlineStr">
        <is>
          <t>DA</t>
        </is>
      </c>
      <c r="E21" s="24" t="n">
        <v>5</v>
      </c>
      <c r="F21" s="24" t="n">
        <v>2</v>
      </c>
      <c r="G21" s="24" t="inlineStr">
        <is>
          <t>Sprint 2</t>
        </is>
      </c>
      <c r="H21" s="25" t="inlineStr">
        <is>
          <t>UC-SPA-06, UC-SPA-11, UC-SPA-15, UC-SPA-16, UC-SPA-18, UC-SPA-28, UC-SPA-30</t>
        </is>
      </c>
    </row>
    <row r="22">
      <c r="A22" s="26" t="inlineStr">
        <is>
          <t>TRT</t>
        </is>
      </c>
      <c r="B22" s="27" t="inlineStr">
        <is>
          <t>GoiKhachHang</t>
        </is>
      </c>
      <c r="C22" s="27" t="inlineStr">
        <is>
          <t>Gói dịch vụ khách đã mua</t>
        </is>
      </c>
      <c r="D22" s="26" t="inlineStr">
        <is>
          <t>DA</t>
        </is>
      </c>
      <c r="E22" s="26" t="n">
        <v>10</v>
      </c>
      <c r="F22" s="26" t="n">
        <v>2</v>
      </c>
      <c r="G22" s="26" t="inlineStr">
        <is>
          <t>Sprint 2</t>
        </is>
      </c>
      <c r="H22" s="27" t="inlineStr">
        <is>
          <t>UC-SPA-06, UC-SPA-11, UC-SPA-15, UC-SPA-18, UC-SPA-19, UC-SPA-21, UC-SPA-28, UC-SPA-30, UC-SPA-32</t>
        </is>
      </c>
    </row>
    <row r="23">
      <c r="A23" s="24" t="inlineStr">
        <is>
          <t>TRT</t>
        </is>
      </c>
      <c r="B23" s="25" t="inlineStr">
        <is>
          <t>LieuTrinh</t>
        </is>
      </c>
      <c r="C23" s="25" t="inlineStr">
        <is>
          <t>Liệu trình gắn với gói đã mua (1-1)</t>
        </is>
      </c>
      <c r="D23" s="24" t="inlineStr">
        <is>
          <t>DA</t>
        </is>
      </c>
      <c r="E23" s="24" t="n">
        <v>9</v>
      </c>
      <c r="F23" s="24" t="n">
        <v>2</v>
      </c>
      <c r="G23" s="24" t="inlineStr">
        <is>
          <t>Sprint 2</t>
        </is>
      </c>
      <c r="H23" s="25" t="inlineStr">
        <is>
          <t>UC-SPA-11, UC-SPA-19, UC-SPA-21, UC-SPA-28</t>
        </is>
      </c>
    </row>
    <row r="24">
      <c r="A24" s="26" t="inlineStr">
        <is>
          <t>TRT</t>
        </is>
      </c>
      <c r="B24" s="27" t="inlineStr">
        <is>
          <t>BuoiChamSoc</t>
        </is>
      </c>
      <c r="C24" s="27" t="inlineStr">
        <is>
          <t>Các buổi trong liệu trình theo thứ tự</t>
        </is>
      </c>
      <c r="D24" s="26" t="inlineStr">
        <is>
          <t>DA</t>
        </is>
      </c>
      <c r="E24" s="26" t="n">
        <v>9</v>
      </c>
      <c r="F24" s="26" t="n">
        <v>2</v>
      </c>
      <c r="G24" s="26" t="inlineStr">
        <is>
          <t>Sprint 2</t>
        </is>
      </c>
      <c r="H24" s="27" t="inlineStr">
        <is>
          <t>UC-SPA-11, UC-SPA-15, UC-SPA-16, UC-SPA-19, UC-SPA-20, UC-SPA-21, UC-SPA-28, UC-SPA-30</t>
        </is>
      </c>
    </row>
    <row r="25">
      <c r="A25" s="24" t="inlineStr">
        <is>
          <t>BKG</t>
        </is>
      </c>
      <c r="B25" s="25" t="inlineStr">
        <is>
          <t>LichHen</t>
        </is>
      </c>
      <c r="C25" s="25" t="inlineStr">
        <is>
          <t>Lịch hẹn — bảng trung tâm của thuật toán chống trùng lịch</t>
        </is>
      </c>
      <c r="D25" s="24" t="inlineStr">
        <is>
          <t>DA</t>
        </is>
      </c>
      <c r="E25" s="24" t="n">
        <v>15</v>
      </c>
      <c r="F25" s="24" t="n">
        <v>5</v>
      </c>
      <c r="G25" s="24" t="inlineStr">
        <is>
          <t>Sprint 1</t>
        </is>
      </c>
      <c r="H25" s="25" t="inlineStr">
        <is>
          <t>UC-SPA-11, UC-SPA-12, UC-SPA-13, UC-SPA-15, UC-SPA-16, UC-SPA-17, UC-SPA-19, UC-SPA-20, UC-SPA-21, UC-SPA-22, UC-SPA-23, UC-SPA-25, UC-SPA-26, UC-SPA-27, UC-SPA-28, UC-SPA-32</t>
        </is>
      </c>
    </row>
    <row r="26">
      <c r="A26" s="26" t="inlineStr">
        <is>
          <t>CARE</t>
        </is>
      </c>
      <c r="B26" s="27" t="inlineStr">
        <is>
          <t>HoSoDa</t>
        </is>
      </c>
      <c r="C26" s="27" t="inlineStr">
        <is>
          <t>Hồ sơ da lập theo từng lần chăm sóc</t>
        </is>
      </c>
      <c r="D26" s="26" t="inlineStr">
        <is>
          <t>DA</t>
        </is>
      </c>
      <c r="E26" s="26" t="n">
        <v>13</v>
      </c>
      <c r="F26" s="26" t="n">
        <v>3</v>
      </c>
      <c r="G26" s="26" t="inlineStr">
        <is>
          <t>Sprint 2</t>
        </is>
      </c>
      <c r="H26" s="27" t="inlineStr">
        <is>
          <t>UC-SPA-21, UC-SPA-26, UC-SPA-27</t>
        </is>
      </c>
    </row>
    <row r="27">
      <c r="A27" s="24" t="inlineStr">
        <is>
          <t>CARE</t>
        </is>
      </c>
      <c r="B27" s="25" t="inlineStr">
        <is>
          <t>DiUngKhachHang</t>
        </is>
      </c>
      <c r="C27" s="25" t="inlineStr">
        <is>
          <t>Thông tin dị ứng của khách</t>
        </is>
      </c>
      <c r="D27" s="24" t="inlineStr">
        <is>
          <t>DA</t>
        </is>
      </c>
      <c r="E27" s="24" t="n">
        <v>6</v>
      </c>
      <c r="F27" s="24" t="n">
        <v>1</v>
      </c>
      <c r="G27" s="24" t="inlineStr">
        <is>
          <t>Sprint 2</t>
        </is>
      </c>
      <c r="H27" s="25" t="inlineStr">
        <is>
          <t>UC-SPA-25, UC-SPA-27</t>
        </is>
      </c>
    </row>
    <row r="28">
      <c r="A28" s="26" t="inlineStr">
        <is>
          <t>REV</t>
        </is>
      </c>
      <c r="B28" s="27" t="inlineStr">
        <is>
          <t>DanhGia</t>
        </is>
      </c>
      <c r="C28" s="27" t="inlineStr">
        <is>
          <t>Đánh giá dịch vụ hoặc gói</t>
        </is>
      </c>
      <c r="D28" s="26" t="inlineStr">
        <is>
          <t>DA</t>
        </is>
      </c>
      <c r="E28" s="26" t="n">
        <v>12</v>
      </c>
      <c r="F28" s="26" t="n">
        <v>3</v>
      </c>
      <c r="G28" s="26" t="inlineStr">
        <is>
          <t>Sprint 2</t>
        </is>
      </c>
      <c r="H28" s="27" t="inlineStr">
        <is>
          <t>UC-SPA-07, UC-SPA-29, UC-SPA-30, UC-SPA-31</t>
        </is>
      </c>
    </row>
    <row r="29">
      <c r="A29" s="24" t="inlineStr">
        <is>
          <t>AI</t>
        </is>
      </c>
      <c r="B29" s="25" t="inlineStr">
        <is>
          <t>LichSuTroChuyenAI</t>
        </is>
      </c>
      <c r="C29" s="25" t="inlineStr">
        <is>
          <t>Lịch sử hỏi – đáp với trợ lý AI</t>
        </is>
      </c>
      <c r="D29" s="24" t="inlineStr">
        <is>
          <t>DA</t>
        </is>
      </c>
      <c r="E29" s="24" t="n">
        <v>5</v>
      </c>
      <c r="F29" s="24" t="n">
        <v>1</v>
      </c>
      <c r="G29" s="24" t="inlineStr">
        <is>
          <t>Sprint 3</t>
        </is>
      </c>
      <c r="H29" s="25" t="inlineStr">
        <is>
          <t>UC-SPA-32</t>
        </is>
      </c>
    </row>
    <row r="30">
      <c r="A30" s="26" t="inlineStr">
        <is>
          <t>NTF</t>
        </is>
      </c>
      <c r="B30" s="27" t="inlineStr">
        <is>
          <t>ThongBao</t>
        </is>
      </c>
      <c r="C30" s="27" t="inlineStr">
        <is>
          <t>Thông báo gửi đến người dùng</t>
        </is>
      </c>
      <c r="D30" s="26" t="inlineStr">
        <is>
          <t>DA</t>
        </is>
      </c>
      <c r="E30" s="26" t="n">
        <v>7</v>
      </c>
      <c r="F30" s="26" t="n">
        <v>1</v>
      </c>
      <c r="G30" s="26" t="inlineStr">
        <is>
          <t>Sprint 3</t>
        </is>
      </c>
      <c r="H30" s="27" t="inlineStr">
        <is>
          <t>UC-SPA-15, UC-SPA-28, UC-SPA-34</t>
        </is>
      </c>
    </row>
    <row r="31">
      <c r="A31" s="24" t="inlineStr">
        <is>
          <t>AUTH</t>
        </is>
      </c>
      <c r="B31" s="25" t="inlineStr">
        <is>
          <t>MaOtp</t>
        </is>
      </c>
      <c r="C31" s="25" t="inlineStr">
        <is>
          <t>Lưu OTP đăng ký / quên mật khẩu (UC-SPA-01, 03 cần nhưng ERD chưa có)</t>
        </is>
      </c>
      <c r="D31" s="24" t="inlineStr">
        <is>
          <t>ĐX (bổ sung)</t>
        </is>
      </c>
      <c r="E31" s="24" t="n">
        <v>9</v>
      </c>
      <c r="F31" s="24" t="n">
        <v>0</v>
      </c>
      <c r="G31" s="24" t="inlineStr">
        <is>
          <t>Sprint 1</t>
        </is>
      </c>
      <c r="H31" s="25" t="inlineStr">
        <is>
          <t>UC-SPA-01, UC-SPA-03</t>
        </is>
      </c>
    </row>
    <row r="32">
      <c r="A32" s="26" t="inlineStr">
        <is>
          <t>AUTH</t>
        </is>
      </c>
      <c r="B32" s="27" t="inlineStr">
        <is>
          <t>RefreshToken</t>
        </is>
      </c>
      <c r="C32" s="27" t="inlineStr">
        <is>
          <t>Phiên đăng nhập JWT (refresh token xoay vòng)</t>
        </is>
      </c>
      <c r="D32" s="26" t="inlineStr">
        <is>
          <t>ĐX (bổ sung)</t>
        </is>
      </c>
      <c r="E32" s="26" t="n">
        <v>6</v>
      </c>
      <c r="F32" s="26" t="n">
        <v>1</v>
      </c>
      <c r="G32" s="26" t="inlineStr">
        <is>
          <t>Sprint 1</t>
        </is>
      </c>
      <c r="H32" s="27" t="inlineStr">
        <is>
          <t>UC-SPA-02, UC-SPA-03, UC-SPA-05</t>
        </is>
      </c>
    </row>
    <row r="33">
      <c r="A33" s="24" t="inlineStr">
        <is>
          <t>CAT</t>
        </is>
      </c>
      <c r="B33" s="25" t="inlineStr">
        <is>
          <t>ThongTinSpa</t>
        </is>
      </c>
      <c r="C33" s="25" t="inlineStr">
        <is>
          <t>Thông tin giới thiệu, liên hệ, giờ mở cửa (UC-SPA-08) — có thể thay bằng cấu hình tĩnh</t>
        </is>
      </c>
      <c r="D33" s="24" t="inlineStr">
        <is>
          <t>ĐX (bổ sung)</t>
        </is>
      </c>
      <c r="E33" s="24" t="n">
        <v>7</v>
      </c>
      <c r="F33" s="24" t="n">
        <v>0</v>
      </c>
      <c r="G33" s="24" t="inlineStr">
        <is>
          <t>Sprint 1</t>
        </is>
      </c>
      <c r="H33" s="25" t="inlineStr">
        <is>
          <t>UC-SPA-08</t>
        </is>
      </c>
    </row>
  </sheetData>
  <autoFilter ref="A4:H33"/>
  <mergeCells count="3">
    <mergeCell ref="A3:H3"/>
    <mergeCell ref="A2:H2"/>
    <mergeCell ref="A1:H1"/>
  </mergeCells>
  <conditionalFormatting sqref="D5:D33">
    <cfRule type="expression" priority="1" dxfId="2">
      <formula>LEFT(D5,2)="ĐX"</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32"/>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26" customWidth="1" min="3" max="3"/>
    <col width="12" customWidth="1" min="4" max="4"/>
    <col width="20" customWidth="1" min="5" max="5"/>
    <col width="60" customWidth="1" min="6" max="6"/>
    <col width="50" customWidth="1" min="7" max="7"/>
    <col width="12" customWidth="1" min="8" max="8"/>
  </cols>
  <sheetData>
    <row r="1" ht="26" customHeight="1">
      <c r="A1" s="1" t="inlineStr">
        <is>
          <t>18 · CHI TIẾT THUỘC TÍNH</t>
        </is>
      </c>
    </row>
    <row r="2">
      <c r="A2" s="2" t="inlineStr">
        <is>
          <t>228 thuộc tính</t>
        </is>
      </c>
    </row>
    <row r="3" ht="30" customHeight="1">
      <c r="A3" s="3" t="inlineStr">
        <is>
          <t>Cột A–D, F, G theo DA; 'Kiểu PostgreSQL (ĐX)' là ánh xạ đề xuất khi cài đặt bằng EF Core/Npgsql.</t>
        </is>
      </c>
    </row>
    <row r="4" ht="32" customHeight="1">
      <c r="A4" s="4" t="inlineStr">
        <is>
          <t>Nhóm</t>
        </is>
      </c>
      <c r="B4" s="4" t="inlineStr">
        <is>
          <t>Bảng</t>
        </is>
      </c>
      <c r="C4" s="4" t="inlineStr">
        <is>
          <t>Thuộc tính</t>
        </is>
      </c>
      <c r="D4" s="4" t="inlineStr">
        <is>
          <t>Kiểu (DA)</t>
        </is>
      </c>
      <c r="E4" s="4" t="inlineStr">
        <is>
          <t>Kiểu PostgreSQL (ĐX)</t>
        </is>
      </c>
      <c r="F4" s="4" t="inlineStr">
        <is>
          <t>Ràng buộc (DA)</t>
        </is>
      </c>
      <c r="G4" s="4" t="inlineStr">
        <is>
          <t>Mô tả (DA)</t>
        </is>
      </c>
      <c r="H4" s="4" t="inlineStr">
        <is>
          <t>Nguồn</t>
        </is>
      </c>
    </row>
    <row r="5">
      <c r="A5" s="24" t="inlineStr">
        <is>
          <t>AUTH</t>
        </is>
      </c>
      <c r="B5" s="25" t="inlineStr">
        <is>
          <t>NguoiDung</t>
        </is>
      </c>
      <c r="C5" s="25" t="inlineStr">
        <is>
          <t>MaNguoiDung</t>
        </is>
      </c>
      <c r="D5" s="24" t="inlineStr">
        <is>
          <t>UUID</t>
        </is>
      </c>
      <c r="E5" s="25" t="inlineStr">
        <is>
          <t>uuid</t>
        </is>
      </c>
      <c r="F5" s="25" t="inlineStr">
        <is>
          <t>Khóa chính, not null</t>
        </is>
      </c>
      <c r="G5" s="25" t="inlineStr">
        <is>
          <t>Mã định danh người dùng</t>
        </is>
      </c>
      <c r="H5" s="24" t="inlineStr">
        <is>
          <t>DA</t>
        </is>
      </c>
    </row>
    <row r="6">
      <c r="A6" s="26" t="inlineStr">
        <is>
          <t>AUTH</t>
        </is>
      </c>
      <c r="B6" s="27" t="inlineStr">
        <is>
          <t>NguoiDung</t>
        </is>
      </c>
      <c r="C6" s="27" t="inlineStr">
        <is>
          <t>HoTen</t>
        </is>
      </c>
      <c r="D6" s="26" t="inlineStr">
        <is>
          <t>STRING</t>
        </is>
      </c>
      <c r="E6" s="27" t="inlineStr">
        <is>
          <t>varchar(255)</t>
        </is>
      </c>
      <c r="F6" s="27" t="inlineStr">
        <is>
          <t>Not null</t>
        </is>
      </c>
      <c r="G6" s="27" t="inlineStr">
        <is>
          <t>Họ và tên người dùng</t>
        </is>
      </c>
      <c r="H6" s="26" t="inlineStr">
        <is>
          <t>DA</t>
        </is>
      </c>
    </row>
    <row r="7">
      <c r="A7" s="24" t="inlineStr">
        <is>
          <t>AUTH</t>
        </is>
      </c>
      <c r="B7" s="25" t="inlineStr">
        <is>
          <t>NguoiDung</t>
        </is>
      </c>
      <c r="C7" s="25" t="inlineStr">
        <is>
          <t>Email</t>
        </is>
      </c>
      <c r="D7" s="24" t="inlineStr">
        <is>
          <t>STRING</t>
        </is>
      </c>
      <c r="E7" s="25" t="inlineStr">
        <is>
          <t>citext</t>
        </is>
      </c>
      <c r="F7" s="25" t="inlineStr">
        <is>
          <t>Unique, not null</t>
        </is>
      </c>
      <c r="G7" s="25" t="inlineStr">
        <is>
          <t>Địa chỉ email đăng nhập</t>
        </is>
      </c>
      <c r="H7" s="24" t="inlineStr">
        <is>
          <t>DA</t>
        </is>
      </c>
    </row>
    <row r="8">
      <c r="A8" s="26" t="inlineStr">
        <is>
          <t>AUTH</t>
        </is>
      </c>
      <c r="B8" s="27" t="inlineStr">
        <is>
          <t>NguoiDung</t>
        </is>
      </c>
      <c r="C8" s="27" t="inlineStr">
        <is>
          <t>SDT</t>
        </is>
      </c>
      <c r="D8" s="26" t="inlineStr">
        <is>
          <t>STRING</t>
        </is>
      </c>
      <c r="E8" s="27" t="inlineStr">
        <is>
          <t>varchar(15)</t>
        </is>
      </c>
      <c r="F8" s="27" t="inlineStr">
        <is>
          <t>Unique, not null</t>
        </is>
      </c>
      <c r="G8" s="27" t="inlineStr">
        <is>
          <t>Số điện thoại</t>
        </is>
      </c>
      <c r="H8" s="26" t="inlineStr">
        <is>
          <t>DA</t>
        </is>
      </c>
    </row>
    <row r="9">
      <c r="A9" s="24" t="inlineStr">
        <is>
          <t>AUTH</t>
        </is>
      </c>
      <c r="B9" s="25" t="inlineStr">
        <is>
          <t>NguoiDung</t>
        </is>
      </c>
      <c r="C9" s="25" t="inlineStr">
        <is>
          <t>MatKhauHash</t>
        </is>
      </c>
      <c r="D9" s="24" t="inlineStr">
        <is>
          <t>STRING</t>
        </is>
      </c>
      <c r="E9" s="25" t="inlineStr">
        <is>
          <t>varchar(50)</t>
        </is>
      </c>
      <c r="F9" s="25" t="inlineStr">
        <is>
          <t>Not null</t>
        </is>
      </c>
      <c r="G9" s="25" t="inlineStr">
        <is>
          <t>Mật khẩu đã được băm</t>
        </is>
      </c>
      <c r="H9" s="24" t="inlineStr">
        <is>
          <t>DA</t>
        </is>
      </c>
    </row>
    <row r="10">
      <c r="A10" s="26" t="inlineStr">
        <is>
          <t>AUTH</t>
        </is>
      </c>
      <c r="B10" s="27" t="inlineStr">
        <is>
          <t>NguoiDung</t>
        </is>
      </c>
      <c r="C10" s="27" t="inlineStr">
        <is>
          <t>VaiTro</t>
        </is>
      </c>
      <c r="D10" s="26" t="inlineStr">
        <is>
          <t>ENUM</t>
        </is>
      </c>
      <c r="E10" s="27" t="inlineStr">
        <is>
          <t>varchar(30) + CHECK</t>
        </is>
      </c>
      <c r="F10" s="27" t="inlineStr">
        <is>
          <t>Not null</t>
        </is>
      </c>
      <c r="G10" s="27" t="inlineStr">
        <is>
          <t>Vai trò người dùng</t>
        </is>
      </c>
      <c r="H10" s="26" t="inlineStr">
        <is>
          <t>DA</t>
        </is>
      </c>
    </row>
    <row r="11">
      <c r="A11" s="24" t="inlineStr">
        <is>
          <t>AUTH</t>
        </is>
      </c>
      <c r="B11" s="25" t="inlineStr">
        <is>
          <t>NguoiDung</t>
        </is>
      </c>
      <c r="C11" s="25" t="inlineStr">
        <is>
          <t>AnhDaiDien</t>
        </is>
      </c>
      <c r="D11" s="24" t="inlineStr">
        <is>
          <t>STRING</t>
        </is>
      </c>
      <c r="E11" s="25" t="inlineStr">
        <is>
          <t>varchar(500)</t>
        </is>
      </c>
      <c r="F11" s="25" t="inlineStr">
        <is>
          <t>Cho phép null</t>
        </is>
      </c>
      <c r="G11" s="25" t="inlineStr">
        <is>
          <t>Đường dẫn ảnh đại diện</t>
        </is>
      </c>
      <c r="H11" s="24" t="inlineStr">
        <is>
          <t>DA</t>
        </is>
      </c>
    </row>
    <row r="12">
      <c r="A12" s="26" t="inlineStr">
        <is>
          <t>AUTH</t>
        </is>
      </c>
      <c r="B12" s="27" t="inlineStr">
        <is>
          <t>NguoiDung</t>
        </is>
      </c>
      <c r="C12" s="27" t="inlineStr">
        <is>
          <t>TrangThai</t>
        </is>
      </c>
      <c r="D12" s="26" t="inlineStr">
        <is>
          <t>ENUM</t>
        </is>
      </c>
      <c r="E12" s="27" t="inlineStr">
        <is>
          <t>varchar(30) + CHECK</t>
        </is>
      </c>
      <c r="F12" s="27" t="inlineStr">
        <is>
          <t>Not null</t>
        </is>
      </c>
      <c r="G12" s="27" t="inlineStr">
        <is>
          <t>Trạng thái tài khoản</t>
        </is>
      </c>
      <c r="H12" s="26" t="inlineStr">
        <is>
          <t>DA</t>
        </is>
      </c>
    </row>
    <row r="13">
      <c r="A13" s="24" t="inlineStr">
        <is>
          <t>AUTH</t>
        </is>
      </c>
      <c r="B13" s="25" t="inlineStr">
        <is>
          <t>NguoiDung</t>
        </is>
      </c>
      <c r="C13" s="25" t="inlineStr">
        <is>
          <t>NgaySinh</t>
        </is>
      </c>
      <c r="D13" s="24" t="inlineStr">
        <is>
          <t>DATE</t>
        </is>
      </c>
      <c r="E13" s="25" t="inlineStr">
        <is>
          <t>date</t>
        </is>
      </c>
      <c r="F13" s="25" t="inlineStr">
        <is>
          <t>Cho phép null</t>
        </is>
      </c>
      <c r="G13" s="25" t="inlineStr">
        <is>
          <t>Ngày sinh người dùng</t>
        </is>
      </c>
      <c r="H13" s="24" t="inlineStr">
        <is>
          <t>DA</t>
        </is>
      </c>
    </row>
    <row r="14">
      <c r="A14" s="26" t="inlineStr">
        <is>
          <t>AUTH</t>
        </is>
      </c>
      <c r="B14" s="27" t="inlineStr">
        <is>
          <t>NguoiDung</t>
        </is>
      </c>
      <c r="C14" s="27" t="inlineStr">
        <is>
          <t>GioiTinh</t>
        </is>
      </c>
      <c r="D14" s="26" t="inlineStr">
        <is>
          <t>ENUM</t>
        </is>
      </c>
      <c r="E14" s="27" t="inlineStr">
        <is>
          <t>varchar(30) + CHECK</t>
        </is>
      </c>
      <c r="F14" s="27" t="inlineStr">
        <is>
          <t>Cho phép null</t>
        </is>
      </c>
      <c r="G14" s="27" t="inlineStr">
        <is>
          <t>Giới tính người dùng</t>
        </is>
      </c>
      <c r="H14" s="26" t="inlineStr">
        <is>
          <t>DA</t>
        </is>
      </c>
    </row>
    <row r="15">
      <c r="A15" s="24" t="inlineStr">
        <is>
          <t>AUTH</t>
        </is>
      </c>
      <c r="B15" s="25" t="inlineStr">
        <is>
          <t>NguoiDung</t>
        </is>
      </c>
      <c r="C15" s="25" t="inlineStr">
        <is>
          <t>NgayTao</t>
        </is>
      </c>
      <c r="D15" s="24" t="inlineStr">
        <is>
          <t>DATETIME</t>
        </is>
      </c>
      <c r="E15" s="25" t="inlineStr">
        <is>
          <t>timestamptz</t>
        </is>
      </c>
      <c r="F15" s="25" t="inlineStr">
        <is>
          <t>Not null</t>
        </is>
      </c>
      <c r="G15" s="25" t="inlineStr">
        <is>
          <t>Thời điểm tạo tài khoản</t>
        </is>
      </c>
      <c r="H15" s="24" t="inlineStr">
        <is>
          <t>DA</t>
        </is>
      </c>
    </row>
    <row r="16">
      <c r="A16" s="26" t="inlineStr">
        <is>
          <t>AUTH</t>
        </is>
      </c>
      <c r="B16" s="27" t="inlineStr">
        <is>
          <t>NguoiDung</t>
        </is>
      </c>
      <c r="C16" s="27" t="inlineStr">
        <is>
          <t>NgayCapNhat</t>
        </is>
      </c>
      <c r="D16" s="26" t="inlineStr">
        <is>
          <t>DATETIME</t>
        </is>
      </c>
      <c r="E16" s="27" t="inlineStr">
        <is>
          <t>timestamptz</t>
        </is>
      </c>
      <c r="F16" s="27" t="inlineStr">
        <is>
          <t>Not null</t>
        </is>
      </c>
      <c r="G16" s="27" t="inlineStr">
        <is>
          <t>Thời điểm cập nhật tài khoản</t>
        </is>
      </c>
      <c r="H16" s="26" t="inlineStr">
        <is>
          <t>DA</t>
        </is>
      </c>
    </row>
    <row r="17">
      <c r="A17" s="24" t="inlineStr">
        <is>
          <t>AUTH</t>
        </is>
      </c>
      <c r="B17" s="25" t="inlineStr">
        <is>
          <t>ChuSpa</t>
        </is>
      </c>
      <c r="C17" s="25" t="inlineStr">
        <is>
          <t>MaNguoiDung</t>
        </is>
      </c>
      <c r="D17" s="24" t="inlineStr">
        <is>
          <t>UUID</t>
        </is>
      </c>
      <c r="E17" s="25" t="inlineStr">
        <is>
          <t>uuid</t>
        </is>
      </c>
      <c r="F17" s="25" t="inlineStr">
        <is>
          <t>Khóa chính, khóa ngoại tham chiếu NguoiDung.MaNguoiDung; not null</t>
        </is>
      </c>
      <c r="G17" s="25" t="inlineStr">
        <is>
          <t>Mã người dùng là chủ spa</t>
        </is>
      </c>
      <c r="H17" s="24" t="inlineStr">
        <is>
          <t>DA</t>
        </is>
      </c>
    </row>
    <row r="18">
      <c r="A18" s="26" t="inlineStr">
        <is>
          <t>AUTH</t>
        </is>
      </c>
      <c r="B18" s="27" t="inlineStr">
        <is>
          <t>ChuSpa</t>
        </is>
      </c>
      <c r="C18" s="27" t="inlineStr">
        <is>
          <t>GhiChu</t>
        </is>
      </c>
      <c r="D18" s="26" t="inlineStr">
        <is>
          <t>TEXT</t>
        </is>
      </c>
      <c r="E18" s="27" t="inlineStr">
        <is>
          <t>text</t>
        </is>
      </c>
      <c r="F18" s="27" t="inlineStr">
        <is>
          <t>Cho phép null</t>
        </is>
      </c>
      <c r="G18" s="27" t="inlineStr">
        <is>
          <t>Ghi chú về chủ spa</t>
        </is>
      </c>
      <c r="H18" s="26" t="inlineStr">
        <is>
          <t>DA</t>
        </is>
      </c>
    </row>
    <row r="19">
      <c r="A19" s="24" t="inlineStr">
        <is>
          <t>AUTH</t>
        </is>
      </c>
      <c r="B19" s="25" t="inlineStr">
        <is>
          <t>KhachHang</t>
        </is>
      </c>
      <c r="C19" s="25" t="inlineStr">
        <is>
          <t>MaNguoiDung</t>
        </is>
      </c>
      <c r="D19" s="24" t="inlineStr">
        <is>
          <t>UUID</t>
        </is>
      </c>
      <c r="E19" s="25" t="inlineStr">
        <is>
          <t>uuid</t>
        </is>
      </c>
      <c r="F19" s="25" t="inlineStr">
        <is>
          <t>Khóa chính, khóa ngoại tham chiếu NguoiDung.MaNguoiDung; not null</t>
        </is>
      </c>
      <c r="G19" s="25" t="inlineStr">
        <is>
          <t>Mã người dùng là khách hàng</t>
        </is>
      </c>
      <c r="H19" s="24" t="inlineStr">
        <is>
          <t>DA</t>
        </is>
      </c>
    </row>
    <row r="20">
      <c r="A20" s="26" t="inlineStr">
        <is>
          <t>AUTH</t>
        </is>
      </c>
      <c r="B20" s="27" t="inlineStr">
        <is>
          <t>KhachHang</t>
        </is>
      </c>
      <c r="C20" s="27" t="inlineStr">
        <is>
          <t>GhiChu</t>
        </is>
      </c>
      <c r="D20" s="26" t="inlineStr">
        <is>
          <t>TEXT</t>
        </is>
      </c>
      <c r="E20" s="27" t="inlineStr">
        <is>
          <t>text</t>
        </is>
      </c>
      <c r="F20" s="27" t="inlineStr">
        <is>
          <t>Cho phép null</t>
        </is>
      </c>
      <c r="G20" s="27" t="inlineStr">
        <is>
          <t>Ghi chú về khách hàng</t>
        </is>
      </c>
      <c r="H20" s="26" t="inlineStr">
        <is>
          <t>DA</t>
        </is>
      </c>
    </row>
    <row r="21">
      <c r="A21" s="24" t="inlineStr">
        <is>
          <t>STF</t>
        </is>
      </c>
      <c r="B21" s="25" t="inlineStr">
        <is>
          <t>NhanVien</t>
        </is>
      </c>
      <c r="C21" s="25" t="inlineStr">
        <is>
          <t>MaNguoiDung</t>
        </is>
      </c>
      <c r="D21" s="24" t="inlineStr">
        <is>
          <t>UUID</t>
        </is>
      </c>
      <c r="E21" s="25" t="inlineStr">
        <is>
          <t>uuid</t>
        </is>
      </c>
      <c r="F21" s="25" t="inlineStr">
        <is>
          <t>Khóa chính, khóa ngoại tham chiếu NguoiDung.MaNguoiDung; not null</t>
        </is>
      </c>
      <c r="G21" s="25" t="inlineStr">
        <is>
          <t>Mã người dùng là nhân viên</t>
        </is>
      </c>
      <c r="H21" s="24" t="inlineStr">
        <is>
          <t>DA</t>
        </is>
      </c>
    </row>
    <row r="22">
      <c r="A22" s="26" t="inlineStr">
        <is>
          <t>STF</t>
        </is>
      </c>
      <c r="B22" s="27" t="inlineStr">
        <is>
          <t>NhanVien</t>
        </is>
      </c>
      <c r="C22" s="27" t="inlineStr">
        <is>
          <t>NgayVaoLam</t>
        </is>
      </c>
      <c r="D22" s="26" t="inlineStr">
        <is>
          <t>DATE</t>
        </is>
      </c>
      <c r="E22" s="27" t="inlineStr">
        <is>
          <t>date</t>
        </is>
      </c>
      <c r="F22" s="27" t="inlineStr">
        <is>
          <t>Not null</t>
        </is>
      </c>
      <c r="G22" s="27" t="inlineStr">
        <is>
          <t>Ngày bắt đầu làm việc</t>
        </is>
      </c>
      <c r="H22" s="26" t="inlineStr">
        <is>
          <t>DA</t>
        </is>
      </c>
    </row>
    <row r="23">
      <c r="A23" s="24" t="inlineStr">
        <is>
          <t>STF</t>
        </is>
      </c>
      <c r="B23" s="25" t="inlineStr">
        <is>
          <t>NhanVien</t>
        </is>
      </c>
      <c r="C23" s="25" t="inlineStr">
        <is>
          <t>ChuyenMon</t>
        </is>
      </c>
      <c r="D23" s="24" t="inlineStr">
        <is>
          <t>STRING</t>
        </is>
      </c>
      <c r="E23" s="25" t="inlineStr">
        <is>
          <t>varchar(255)</t>
        </is>
      </c>
      <c r="F23" s="25" t="inlineStr">
        <is>
          <t>Cho phép null</t>
        </is>
      </c>
      <c r="G23" s="25" t="inlineStr">
        <is>
          <t>Chuyên môn của nhân viên</t>
        </is>
      </c>
      <c r="H23" s="24" t="inlineStr">
        <is>
          <t>DA</t>
        </is>
      </c>
    </row>
    <row r="24">
      <c r="A24" s="26" t="inlineStr">
        <is>
          <t>STF</t>
        </is>
      </c>
      <c r="B24" s="27" t="inlineStr">
        <is>
          <t>NhanVien</t>
        </is>
      </c>
      <c r="C24" s="27" t="inlineStr">
        <is>
          <t>NgayNghiViec</t>
        </is>
      </c>
      <c r="D24" s="26" t="inlineStr">
        <is>
          <t>DATE</t>
        </is>
      </c>
      <c r="E24" s="27" t="inlineStr">
        <is>
          <t>date</t>
        </is>
      </c>
      <c r="F24" s="27" t="inlineStr">
        <is>
          <t>Cho phép null; không trước NgayVaoLam</t>
        </is>
      </c>
      <c r="G24" s="27" t="inlineStr">
        <is>
          <t>Ngày nhân viên nghỉ việc</t>
        </is>
      </c>
      <c r="H24" s="26" t="inlineStr">
        <is>
          <t>DA</t>
        </is>
      </c>
    </row>
    <row r="25">
      <c r="A25" s="24" t="inlineStr">
        <is>
          <t>CAT</t>
        </is>
      </c>
      <c r="B25" s="25" t="inlineStr">
        <is>
          <t>DichVu</t>
        </is>
      </c>
      <c r="C25" s="25" t="inlineStr">
        <is>
          <t>Id</t>
        </is>
      </c>
      <c r="D25" s="24" t="inlineStr">
        <is>
          <t>UUID</t>
        </is>
      </c>
      <c r="E25" s="25" t="inlineStr">
        <is>
          <t>uuid</t>
        </is>
      </c>
      <c r="F25" s="25" t="inlineStr">
        <is>
          <t>Khóa chính, not null</t>
        </is>
      </c>
      <c r="G25" s="25" t="inlineStr">
        <is>
          <t>Mã định danh dịch vụ</t>
        </is>
      </c>
      <c r="H25" s="24" t="inlineStr">
        <is>
          <t>DA</t>
        </is>
      </c>
    </row>
    <row r="26">
      <c r="A26" s="26" t="inlineStr">
        <is>
          <t>CAT</t>
        </is>
      </c>
      <c r="B26" s="27" t="inlineStr">
        <is>
          <t>DichVu</t>
        </is>
      </c>
      <c r="C26" s="27" t="inlineStr">
        <is>
          <t>TenDichVu</t>
        </is>
      </c>
      <c r="D26" s="26" t="inlineStr">
        <is>
          <t>STRING</t>
        </is>
      </c>
      <c r="E26" s="27" t="inlineStr">
        <is>
          <t>varchar(255)</t>
        </is>
      </c>
      <c r="F26" s="27" t="inlineStr">
        <is>
          <t>Not null</t>
        </is>
      </c>
      <c r="G26" s="27" t="inlineStr">
        <is>
          <t>Tên dịch vụ</t>
        </is>
      </c>
      <c r="H26" s="26" t="inlineStr">
        <is>
          <t>DA</t>
        </is>
      </c>
    </row>
    <row r="27">
      <c r="A27" s="24" t="inlineStr">
        <is>
          <t>CAT</t>
        </is>
      </c>
      <c r="B27" s="25" t="inlineStr">
        <is>
          <t>DichVu</t>
        </is>
      </c>
      <c r="C27" s="25" t="inlineStr">
        <is>
          <t>LoaiDichVu</t>
        </is>
      </c>
      <c r="D27" s="24" t="inlineStr">
        <is>
          <t>STRING</t>
        </is>
      </c>
      <c r="E27" s="25" t="inlineStr">
        <is>
          <t>varchar(255)</t>
        </is>
      </c>
      <c r="F27" s="25" t="inlineStr">
        <is>
          <t>Not null</t>
        </is>
      </c>
      <c r="G27" s="25" t="inlineStr">
        <is>
          <t>Nhóm phân loại dịch vụ (dùng làm 'danh mục' khi tìm kiếm)</t>
        </is>
      </c>
      <c r="H27" s="24" t="inlineStr">
        <is>
          <t>DA</t>
        </is>
      </c>
    </row>
    <row r="28">
      <c r="A28" s="26" t="inlineStr">
        <is>
          <t>CAT</t>
        </is>
      </c>
      <c r="B28" s="27" t="inlineStr">
        <is>
          <t>DichVu</t>
        </is>
      </c>
      <c r="C28" s="27" t="inlineStr">
        <is>
          <t>MoTa</t>
        </is>
      </c>
      <c r="D28" s="26" t="inlineStr">
        <is>
          <t>TEXT</t>
        </is>
      </c>
      <c r="E28" s="27" t="inlineStr">
        <is>
          <t>text</t>
        </is>
      </c>
      <c r="F28" s="27" t="inlineStr">
        <is>
          <t>Cho phép null</t>
        </is>
      </c>
      <c r="G28" s="27" t="inlineStr">
        <is>
          <t>Mô tả dịch vụ</t>
        </is>
      </c>
      <c r="H28" s="26" t="inlineStr">
        <is>
          <t>DA</t>
        </is>
      </c>
    </row>
    <row r="29">
      <c r="A29" s="24" t="inlineStr">
        <is>
          <t>CAT</t>
        </is>
      </c>
      <c r="B29" s="25" t="inlineStr">
        <is>
          <t>DichVu</t>
        </is>
      </c>
      <c r="C29" s="25" t="inlineStr">
        <is>
          <t>ThoiLuongPhut</t>
        </is>
      </c>
      <c r="D29" s="24" t="inlineStr">
        <is>
          <t>INTEGER</t>
        </is>
      </c>
      <c r="E29" s="25" t="inlineStr">
        <is>
          <t>integer</t>
        </is>
      </c>
      <c r="F29" s="25" t="inlineStr">
        <is>
          <t>Lớn hơn 0, not null</t>
        </is>
      </c>
      <c r="G29" s="25" t="inlineStr">
        <is>
          <t>Thời lượng thực hiện tính bằng phút</t>
        </is>
      </c>
      <c r="H29" s="24" t="inlineStr">
        <is>
          <t>DA</t>
        </is>
      </c>
    </row>
    <row r="30">
      <c r="A30" s="26" t="inlineStr">
        <is>
          <t>CAT</t>
        </is>
      </c>
      <c r="B30" s="27" t="inlineStr">
        <is>
          <t>DichVu</t>
        </is>
      </c>
      <c r="C30" s="27" t="inlineStr">
        <is>
          <t>Gia</t>
        </is>
      </c>
      <c r="D30" s="26" t="inlineStr">
        <is>
          <t>DECIMAL</t>
        </is>
      </c>
      <c r="E30" s="27" t="inlineStr">
        <is>
          <t>numeric(12,0)</t>
        </is>
      </c>
      <c r="F30" s="27" t="inlineStr">
        <is>
          <t>Không âm, not null</t>
        </is>
      </c>
      <c r="G30" s="27" t="inlineStr">
        <is>
          <t>Giá bán dịch vụ</t>
        </is>
      </c>
      <c r="H30" s="26" t="inlineStr">
        <is>
          <t>DA</t>
        </is>
      </c>
    </row>
    <row r="31">
      <c r="A31" s="24" t="inlineStr">
        <is>
          <t>CAT</t>
        </is>
      </c>
      <c r="B31" s="25" t="inlineStr">
        <is>
          <t>DichVu</t>
        </is>
      </c>
      <c r="C31" s="25" t="inlineStr">
        <is>
          <t>HinhAnh</t>
        </is>
      </c>
      <c r="D31" s="24" t="inlineStr">
        <is>
          <t>STRING</t>
        </is>
      </c>
      <c r="E31" s="25" t="inlineStr">
        <is>
          <t>varchar(500)</t>
        </is>
      </c>
      <c r="F31" s="25" t="inlineStr">
        <is>
          <t>Cho phép null</t>
        </is>
      </c>
      <c r="G31" s="25" t="inlineStr">
        <is>
          <t>Đường dẫn hình ảnh dịch vụ</t>
        </is>
      </c>
      <c r="H31" s="24" t="inlineStr">
        <is>
          <t>DA</t>
        </is>
      </c>
    </row>
    <row r="32">
      <c r="A32" s="26" t="inlineStr">
        <is>
          <t>CAT</t>
        </is>
      </c>
      <c r="B32" s="27" t="inlineStr">
        <is>
          <t>DichVu</t>
        </is>
      </c>
      <c r="C32" s="27" t="inlineStr">
        <is>
          <t>TrangThai</t>
        </is>
      </c>
      <c r="D32" s="26" t="inlineStr">
        <is>
          <t>ENUM</t>
        </is>
      </c>
      <c r="E32" s="27" t="inlineStr">
        <is>
          <t>varchar(30) + CHECK</t>
        </is>
      </c>
      <c r="F32" s="27" t="inlineStr">
        <is>
          <t>Not null</t>
        </is>
      </c>
      <c r="G32" s="27" t="inlineStr">
        <is>
          <t>Trạng thái kinh doanh dịch vụ</t>
        </is>
      </c>
      <c r="H32" s="26" t="inlineStr">
        <is>
          <t>DA</t>
        </is>
      </c>
    </row>
    <row r="33">
      <c r="A33" s="24" t="inlineStr">
        <is>
          <t>CAT</t>
        </is>
      </c>
      <c r="B33" s="25" t="inlineStr">
        <is>
          <t>DichVu</t>
        </is>
      </c>
      <c r="C33" s="25" t="inlineStr">
        <is>
          <t>NgayTao</t>
        </is>
      </c>
      <c r="D33" s="24" t="inlineStr">
        <is>
          <t>DATETIME</t>
        </is>
      </c>
      <c r="E33" s="25" t="inlineStr">
        <is>
          <t>timestamptz</t>
        </is>
      </c>
      <c r="F33" s="25" t="inlineStr">
        <is>
          <t>Not null</t>
        </is>
      </c>
      <c r="G33" s="25" t="inlineStr">
        <is>
          <t>Thời điểm tạo dịch vụ</t>
        </is>
      </c>
      <c r="H33" s="24" t="inlineStr">
        <is>
          <t>DA</t>
        </is>
      </c>
    </row>
    <row r="34">
      <c r="A34" s="26" t="inlineStr">
        <is>
          <t>CAT</t>
        </is>
      </c>
      <c r="B34" s="27" t="inlineStr">
        <is>
          <t>DichVu</t>
        </is>
      </c>
      <c r="C34" s="27" t="inlineStr">
        <is>
          <t>NgayCapNhat</t>
        </is>
      </c>
      <c r="D34" s="26" t="inlineStr">
        <is>
          <t>DATETIME</t>
        </is>
      </c>
      <c r="E34" s="27" t="inlineStr">
        <is>
          <t>timestamptz</t>
        </is>
      </c>
      <c r="F34" s="27" t="inlineStr">
        <is>
          <t>Not null</t>
        </is>
      </c>
      <c r="G34" s="27" t="inlineStr">
        <is>
          <t>Thời điểm cập nhật dịch vụ</t>
        </is>
      </c>
      <c r="H34" s="26" t="inlineStr">
        <is>
          <t>DA</t>
        </is>
      </c>
    </row>
    <row r="35">
      <c r="A35" s="24" t="inlineStr">
        <is>
          <t>CAT</t>
        </is>
      </c>
      <c r="B35" s="25" t="inlineStr">
        <is>
          <t>GoiDichVu</t>
        </is>
      </c>
      <c r="C35" s="25" t="inlineStr">
        <is>
          <t>Id</t>
        </is>
      </c>
      <c r="D35" s="24" t="inlineStr">
        <is>
          <t>UUID</t>
        </is>
      </c>
      <c r="E35" s="25" t="inlineStr">
        <is>
          <t>uuid</t>
        </is>
      </c>
      <c r="F35" s="25" t="inlineStr">
        <is>
          <t>Khóa chính, not null</t>
        </is>
      </c>
      <c r="G35" s="25" t="inlineStr">
        <is>
          <t>Mã định danh gói dịch vụ</t>
        </is>
      </c>
      <c r="H35" s="24" t="inlineStr">
        <is>
          <t>DA</t>
        </is>
      </c>
    </row>
    <row r="36">
      <c r="A36" s="26" t="inlineStr">
        <is>
          <t>CAT</t>
        </is>
      </c>
      <c r="B36" s="27" t="inlineStr">
        <is>
          <t>GoiDichVu</t>
        </is>
      </c>
      <c r="C36" s="27" t="inlineStr">
        <is>
          <t>TenGoiDichVu</t>
        </is>
      </c>
      <c r="D36" s="26" t="inlineStr">
        <is>
          <t>STRING</t>
        </is>
      </c>
      <c r="E36" s="27" t="inlineStr">
        <is>
          <t>varchar(255)</t>
        </is>
      </c>
      <c r="F36" s="27" t="inlineStr">
        <is>
          <t>Not null</t>
        </is>
      </c>
      <c r="G36" s="27" t="inlineStr">
        <is>
          <t>Tên gói dịch vụ</t>
        </is>
      </c>
      <c r="H36" s="26" t="inlineStr">
        <is>
          <t>DA</t>
        </is>
      </c>
    </row>
    <row r="37">
      <c r="A37" s="24" t="inlineStr">
        <is>
          <t>CAT</t>
        </is>
      </c>
      <c r="B37" s="25" t="inlineStr">
        <is>
          <t>GoiDichVu</t>
        </is>
      </c>
      <c r="C37" s="25" t="inlineStr">
        <is>
          <t>MoTa</t>
        </is>
      </c>
      <c r="D37" s="24" t="inlineStr">
        <is>
          <t>TEXT</t>
        </is>
      </c>
      <c r="E37" s="25" t="inlineStr">
        <is>
          <t>text</t>
        </is>
      </c>
      <c r="F37" s="25" t="inlineStr">
        <is>
          <t>Cho phép null</t>
        </is>
      </c>
      <c r="G37" s="25" t="inlineStr">
        <is>
          <t>Mô tả gói dịch vụ</t>
        </is>
      </c>
      <c r="H37" s="24" t="inlineStr">
        <is>
          <t>DA</t>
        </is>
      </c>
    </row>
    <row r="38">
      <c r="A38" s="26" t="inlineStr">
        <is>
          <t>CAT</t>
        </is>
      </c>
      <c r="B38" s="27" t="inlineStr">
        <is>
          <t>GoiDichVu</t>
        </is>
      </c>
      <c r="C38" s="27" t="inlineStr">
        <is>
          <t>Gia</t>
        </is>
      </c>
      <c r="D38" s="26" t="inlineStr">
        <is>
          <t>DECIMAL</t>
        </is>
      </c>
      <c r="E38" s="27" t="inlineStr">
        <is>
          <t>numeric(12,0)</t>
        </is>
      </c>
      <c r="F38" s="27" t="inlineStr">
        <is>
          <t>Không âm, not null</t>
        </is>
      </c>
      <c r="G38" s="27" t="inlineStr">
        <is>
          <t>Giá bán gói dịch vụ</t>
        </is>
      </c>
      <c r="H38" s="26" t="inlineStr">
        <is>
          <t>DA</t>
        </is>
      </c>
    </row>
    <row r="39">
      <c r="A39" s="24" t="inlineStr">
        <is>
          <t>CAT</t>
        </is>
      </c>
      <c r="B39" s="25" t="inlineStr">
        <is>
          <t>GoiDichVu</t>
        </is>
      </c>
      <c r="C39" s="25" t="inlineStr">
        <is>
          <t>ThoiHanNgay</t>
        </is>
      </c>
      <c r="D39" s="24" t="inlineStr">
        <is>
          <t>INTEGER</t>
        </is>
      </c>
      <c r="E39" s="25" t="inlineStr">
        <is>
          <t>integer</t>
        </is>
      </c>
      <c r="F39" s="25" t="inlineStr">
        <is>
          <t>Lớn hơn 0, not null</t>
        </is>
      </c>
      <c r="G39" s="25" t="inlineStr">
        <is>
          <t>Thời hạn sử dụng tính bằng ngày</t>
        </is>
      </c>
      <c r="H39" s="24" t="inlineStr">
        <is>
          <t>DA</t>
        </is>
      </c>
    </row>
    <row r="40">
      <c r="A40" s="26" t="inlineStr">
        <is>
          <t>CAT</t>
        </is>
      </c>
      <c r="B40" s="27" t="inlineStr">
        <is>
          <t>GoiDichVu</t>
        </is>
      </c>
      <c r="C40" s="27" t="inlineStr">
        <is>
          <t>TrangThai</t>
        </is>
      </c>
      <c r="D40" s="26" t="inlineStr">
        <is>
          <t>ENUM</t>
        </is>
      </c>
      <c r="E40" s="27" t="inlineStr">
        <is>
          <t>varchar(30) + CHECK</t>
        </is>
      </c>
      <c r="F40" s="27" t="inlineStr">
        <is>
          <t>Not null</t>
        </is>
      </c>
      <c r="G40" s="27" t="inlineStr">
        <is>
          <t>Trạng thái kinh doanh gói dịch vụ</t>
        </is>
      </c>
      <c r="H40" s="26" t="inlineStr">
        <is>
          <t>DA</t>
        </is>
      </c>
    </row>
    <row r="41">
      <c r="A41" s="24" t="inlineStr">
        <is>
          <t>CAT</t>
        </is>
      </c>
      <c r="B41" s="25" t="inlineStr">
        <is>
          <t>GoiDichVu</t>
        </is>
      </c>
      <c r="C41" s="25" t="inlineStr">
        <is>
          <t>NgayBatDauBan</t>
        </is>
      </c>
      <c r="D41" s="24" t="inlineStr">
        <is>
          <t>DATE</t>
        </is>
      </c>
      <c r="E41" s="25" t="inlineStr">
        <is>
          <t>date</t>
        </is>
      </c>
      <c r="F41" s="25" t="inlineStr">
        <is>
          <t>Cho phép null</t>
        </is>
      </c>
      <c r="G41" s="25" t="inlineStr">
        <is>
          <t>Ngày bắt đầu bán gói</t>
        </is>
      </c>
      <c r="H41" s="24" t="inlineStr">
        <is>
          <t>DA</t>
        </is>
      </c>
    </row>
    <row r="42">
      <c r="A42" s="26" t="inlineStr">
        <is>
          <t>CAT</t>
        </is>
      </c>
      <c r="B42" s="27" t="inlineStr">
        <is>
          <t>GoiDichVu</t>
        </is>
      </c>
      <c r="C42" s="27" t="inlineStr">
        <is>
          <t>NgayKetThucBan</t>
        </is>
      </c>
      <c r="D42" s="26" t="inlineStr">
        <is>
          <t>DATE</t>
        </is>
      </c>
      <c r="E42" s="27" t="inlineStr">
        <is>
          <t>date</t>
        </is>
      </c>
      <c r="F42" s="27" t="inlineStr">
        <is>
          <t>Cho phép null; không trước NgayBatDauBan</t>
        </is>
      </c>
      <c r="G42" s="27" t="inlineStr">
        <is>
          <t>Ngày kết thúc bán gói</t>
        </is>
      </c>
      <c r="H42" s="26" t="inlineStr">
        <is>
          <t>DA</t>
        </is>
      </c>
    </row>
    <row r="43">
      <c r="A43" s="24" t="inlineStr">
        <is>
          <t>CAT</t>
        </is>
      </c>
      <c r="B43" s="25" t="inlineStr">
        <is>
          <t>GoiDichVu</t>
        </is>
      </c>
      <c r="C43" s="25" t="inlineStr">
        <is>
          <t>NgayTao</t>
        </is>
      </c>
      <c r="D43" s="24" t="inlineStr">
        <is>
          <t>DATETIME</t>
        </is>
      </c>
      <c r="E43" s="25" t="inlineStr">
        <is>
          <t>timestamptz</t>
        </is>
      </c>
      <c r="F43" s="25" t="inlineStr">
        <is>
          <t>Not null</t>
        </is>
      </c>
      <c r="G43" s="25" t="inlineStr">
        <is>
          <t>Thời điểm tạo gói dịch vụ</t>
        </is>
      </c>
      <c r="H43" s="24" t="inlineStr">
        <is>
          <t>DA</t>
        </is>
      </c>
    </row>
    <row r="44">
      <c r="A44" s="26" t="inlineStr">
        <is>
          <t>CAT</t>
        </is>
      </c>
      <c r="B44" s="27" t="inlineStr">
        <is>
          <t>GoiDichVu</t>
        </is>
      </c>
      <c r="C44" s="27" t="inlineStr">
        <is>
          <t>NgayCapNhat</t>
        </is>
      </c>
      <c r="D44" s="26" t="inlineStr">
        <is>
          <t>DATETIME</t>
        </is>
      </c>
      <c r="E44" s="27" t="inlineStr">
        <is>
          <t>timestamptz</t>
        </is>
      </c>
      <c r="F44" s="27" t="inlineStr">
        <is>
          <t>Not null</t>
        </is>
      </c>
      <c r="G44" s="27" t="inlineStr">
        <is>
          <t>Thời điểm cập nhật gói dịch vụ</t>
        </is>
      </c>
      <c r="H44" s="26" t="inlineStr">
        <is>
          <t>DA</t>
        </is>
      </c>
    </row>
    <row r="45">
      <c r="A45" s="24" t="inlineStr">
        <is>
          <t>CAT</t>
        </is>
      </c>
      <c r="B45" s="25" t="inlineStr">
        <is>
          <t>GoiDichVuChiTiet</t>
        </is>
      </c>
      <c r="C45" s="25" t="inlineStr">
        <is>
          <t>Id</t>
        </is>
      </c>
      <c r="D45" s="24" t="inlineStr">
        <is>
          <t>UUID</t>
        </is>
      </c>
      <c r="E45" s="25" t="inlineStr">
        <is>
          <t>uuid</t>
        </is>
      </c>
      <c r="F45" s="25" t="inlineStr">
        <is>
          <t>Khóa chính, not null</t>
        </is>
      </c>
      <c r="G45" s="25" t="inlineStr">
        <is>
          <t>Mã định danh chi tiết gói</t>
        </is>
      </c>
      <c r="H45" s="24" t="inlineStr">
        <is>
          <t>DA</t>
        </is>
      </c>
    </row>
    <row r="46">
      <c r="A46" s="26" t="inlineStr">
        <is>
          <t>CAT</t>
        </is>
      </c>
      <c r="B46" s="27" t="inlineStr">
        <is>
          <t>GoiDichVuChiTiet</t>
        </is>
      </c>
      <c r="C46" s="27" t="inlineStr">
        <is>
          <t>IdDichVu</t>
        </is>
      </c>
      <c r="D46" s="26" t="inlineStr">
        <is>
          <t>UUID</t>
        </is>
      </c>
      <c r="E46" s="27" t="inlineStr">
        <is>
          <t>uuid</t>
        </is>
      </c>
      <c r="F46" s="27" t="inlineStr">
        <is>
          <t>Khóa ngoại tham chiếu DichVu.Id; not null</t>
        </is>
      </c>
      <c r="G46" s="27" t="inlineStr">
        <is>
          <t>Dịch vụ thuộc gói</t>
        </is>
      </c>
      <c r="H46" s="26" t="inlineStr">
        <is>
          <t>DA</t>
        </is>
      </c>
    </row>
    <row r="47">
      <c r="A47" s="24" t="inlineStr">
        <is>
          <t>CAT</t>
        </is>
      </c>
      <c r="B47" s="25" t="inlineStr">
        <is>
          <t>GoiDichVuChiTiet</t>
        </is>
      </c>
      <c r="C47" s="25" t="inlineStr">
        <is>
          <t>IdGoiDichVu</t>
        </is>
      </c>
      <c r="D47" s="24" t="inlineStr">
        <is>
          <t>UUID</t>
        </is>
      </c>
      <c r="E47" s="25" t="inlineStr">
        <is>
          <t>uuid</t>
        </is>
      </c>
      <c r="F47" s="25" t="inlineStr">
        <is>
          <t>Khóa ngoại tham chiếu GoiDichVu.Id; not null</t>
        </is>
      </c>
      <c r="G47" s="25" t="inlineStr">
        <is>
          <t>Gói dịch vụ chứa chi tiết</t>
        </is>
      </c>
      <c r="H47" s="24" t="inlineStr">
        <is>
          <t>DA</t>
        </is>
      </c>
    </row>
    <row r="48">
      <c r="A48" s="26" t="inlineStr">
        <is>
          <t>CAT</t>
        </is>
      </c>
      <c r="B48" s="27" t="inlineStr">
        <is>
          <t>GoiDichVuChiTiet</t>
        </is>
      </c>
      <c r="C48" s="27" t="inlineStr">
        <is>
          <t>SoBuoi</t>
        </is>
      </c>
      <c r="D48" s="26" t="inlineStr">
        <is>
          <t>INTEGER</t>
        </is>
      </c>
      <c r="E48" s="27" t="inlineStr">
        <is>
          <t>integer</t>
        </is>
      </c>
      <c r="F48" s="27" t="inlineStr">
        <is>
          <t>Lớn hơn 0, not null</t>
        </is>
      </c>
      <c r="G48" s="27" t="inlineStr">
        <is>
          <t>Số buổi thực hiện dịch vụ trong gói</t>
        </is>
      </c>
      <c r="H48" s="26" t="inlineStr">
        <is>
          <t>DA</t>
        </is>
      </c>
    </row>
    <row r="49">
      <c r="A49" s="24" t="inlineStr">
        <is>
          <t>CAT</t>
        </is>
      </c>
      <c r="B49" s="25" t="inlineStr">
        <is>
          <t>GoiDichVuChiTiet</t>
        </is>
      </c>
      <c r="C49" s="25" t="inlineStr">
        <is>
          <t>KhoangCachNgayToiThieu</t>
        </is>
      </c>
      <c r="D49" s="24" t="inlineStr">
        <is>
          <t>INTEGER</t>
        </is>
      </c>
      <c r="E49" s="25" t="inlineStr">
        <is>
          <t>integer</t>
        </is>
      </c>
      <c r="F49" s="25" t="inlineStr">
        <is>
          <t>Không âm, not null</t>
        </is>
      </c>
      <c r="G49" s="25" t="inlineStr">
        <is>
          <t>Khoảng cách tối thiểu giữa các buổi, tính bằng ngày</t>
        </is>
      </c>
      <c r="H49" s="24" t="inlineStr">
        <is>
          <t>DA</t>
        </is>
      </c>
    </row>
    <row r="50">
      <c r="A50" s="26" t="inlineStr">
        <is>
          <t>CAT</t>
        </is>
      </c>
      <c r="B50" s="27" t="inlineStr">
        <is>
          <t>GoiDichVuChiTiet</t>
        </is>
      </c>
      <c r="C50" s="27" t="inlineStr">
        <is>
          <t>ThuTu</t>
        </is>
      </c>
      <c r="D50" s="26" t="inlineStr">
        <is>
          <t>INTEGER</t>
        </is>
      </c>
      <c r="E50" s="27" t="inlineStr">
        <is>
          <t>integer</t>
        </is>
      </c>
      <c r="F50" s="27" t="inlineStr">
        <is>
          <t>Lớn hơn 0, not null</t>
        </is>
      </c>
      <c r="G50" s="27" t="inlineStr">
        <is>
          <t>Thứ tự thực hiện trong gói</t>
        </is>
      </c>
      <c r="H50" s="26" t="inlineStr">
        <is>
          <t>DA</t>
        </is>
      </c>
    </row>
    <row r="51">
      <c r="A51" s="24" t="inlineStr">
        <is>
          <t>CAT</t>
        </is>
      </c>
      <c r="B51" s="25" t="inlineStr">
        <is>
          <t>GoiDichVuChiTiet</t>
        </is>
      </c>
      <c r="C51" s="25" t="inlineStr">
        <is>
          <t>GhiChu</t>
        </is>
      </c>
      <c r="D51" s="24" t="inlineStr">
        <is>
          <t>TEXT</t>
        </is>
      </c>
      <c r="E51" s="25" t="inlineStr">
        <is>
          <t>text</t>
        </is>
      </c>
      <c r="F51" s="25" t="inlineStr">
        <is>
          <t>Cho phép null</t>
        </is>
      </c>
      <c r="G51" s="25" t="inlineStr">
        <is>
          <t>Ghi chú về chi tiết gói</t>
        </is>
      </c>
      <c r="H51" s="24" t="inlineStr">
        <is>
          <t>DA</t>
        </is>
      </c>
    </row>
    <row r="52">
      <c r="A52" s="26" t="inlineStr">
        <is>
          <t>STF</t>
        </is>
      </c>
      <c r="B52" s="27" t="inlineStr">
        <is>
          <t>NhanVien_DichVu</t>
        </is>
      </c>
      <c r="C52" s="27" t="inlineStr">
        <is>
          <t>IdNhanVien</t>
        </is>
      </c>
      <c r="D52" s="26" t="inlineStr">
        <is>
          <t>UUID</t>
        </is>
      </c>
      <c r="E52" s="27" t="inlineStr">
        <is>
          <t>uuid</t>
        </is>
      </c>
      <c r="F52" s="27" t="inlineStr">
        <is>
          <t>Thành phần khóa chính ghép, khóa ngoại tham chiếu NhanVien.MaNguoiDung; not null</t>
        </is>
      </c>
      <c r="G52" s="27" t="inlineStr">
        <is>
          <t>Nhân viên có thể thực hiện dịch vụ</t>
        </is>
      </c>
      <c r="H52" s="26" t="inlineStr">
        <is>
          <t>DA</t>
        </is>
      </c>
    </row>
    <row r="53">
      <c r="A53" s="24" t="inlineStr">
        <is>
          <t>STF</t>
        </is>
      </c>
      <c r="B53" s="25" t="inlineStr">
        <is>
          <t>NhanVien_DichVu</t>
        </is>
      </c>
      <c r="C53" s="25" t="inlineStr">
        <is>
          <t>IdDichVu</t>
        </is>
      </c>
      <c r="D53" s="24" t="inlineStr">
        <is>
          <t>UUID</t>
        </is>
      </c>
      <c r="E53" s="25" t="inlineStr">
        <is>
          <t>uuid</t>
        </is>
      </c>
      <c r="F53" s="25" t="inlineStr">
        <is>
          <t>Thành phần khóa chính ghép, khóa ngoại tham chiếu DichVu.Id; not null</t>
        </is>
      </c>
      <c r="G53" s="25" t="inlineStr">
        <is>
          <t>Dịch vụ nhân viên có thể thực hiện</t>
        </is>
      </c>
      <c r="H53" s="24" t="inlineStr">
        <is>
          <t>DA</t>
        </is>
      </c>
    </row>
    <row r="54">
      <c r="A54" s="26" t="inlineStr">
        <is>
          <t>STF</t>
        </is>
      </c>
      <c r="B54" s="27" t="inlineStr">
        <is>
          <t>LichLamViec</t>
        </is>
      </c>
      <c r="C54" s="27" t="inlineStr">
        <is>
          <t>Id</t>
        </is>
      </c>
      <c r="D54" s="26" t="inlineStr">
        <is>
          <t>UUID</t>
        </is>
      </c>
      <c r="E54" s="27" t="inlineStr">
        <is>
          <t>uuid</t>
        </is>
      </c>
      <c r="F54" s="27" t="inlineStr">
        <is>
          <t>Khóa chính, not null</t>
        </is>
      </c>
      <c r="G54" s="27" t="inlineStr">
        <is>
          <t>Mã định danh ca làm việc</t>
        </is>
      </c>
      <c r="H54" s="26" t="inlineStr">
        <is>
          <t>DA</t>
        </is>
      </c>
    </row>
    <row r="55">
      <c r="A55" s="24" t="inlineStr">
        <is>
          <t>STF</t>
        </is>
      </c>
      <c r="B55" s="25" t="inlineStr">
        <is>
          <t>LichLamViec</t>
        </is>
      </c>
      <c r="C55" s="25" t="inlineStr">
        <is>
          <t>IdNhanVien</t>
        </is>
      </c>
      <c r="D55" s="24" t="inlineStr">
        <is>
          <t>UUID</t>
        </is>
      </c>
      <c r="E55" s="25" t="inlineStr">
        <is>
          <t>uuid</t>
        </is>
      </c>
      <c r="F55" s="25" t="inlineStr">
        <is>
          <t>Khóa ngoại tham chiếu NhanVien.MaNguoiDung; not null</t>
        </is>
      </c>
      <c r="G55" s="25" t="inlineStr">
        <is>
          <t>Nhân viên được phân công</t>
        </is>
      </c>
      <c r="H55" s="24" t="inlineStr">
        <is>
          <t>DA</t>
        </is>
      </c>
    </row>
    <row r="56">
      <c r="A56" s="26" t="inlineStr">
        <is>
          <t>STF</t>
        </is>
      </c>
      <c r="B56" s="27" t="inlineStr">
        <is>
          <t>LichLamViec</t>
        </is>
      </c>
      <c r="C56" s="27" t="inlineStr">
        <is>
          <t>Ngay</t>
        </is>
      </c>
      <c r="D56" s="26" t="inlineStr">
        <is>
          <t>DATE</t>
        </is>
      </c>
      <c r="E56" s="27" t="inlineStr">
        <is>
          <t>date</t>
        </is>
      </c>
      <c r="F56" s="27" t="inlineStr">
        <is>
          <t>Not null</t>
        </is>
      </c>
      <c r="G56" s="27" t="inlineStr">
        <is>
          <t>Ngày làm việc</t>
        </is>
      </c>
      <c r="H56" s="26" t="inlineStr">
        <is>
          <t>DA</t>
        </is>
      </c>
    </row>
    <row r="57">
      <c r="A57" s="24" t="inlineStr">
        <is>
          <t>STF</t>
        </is>
      </c>
      <c r="B57" s="25" t="inlineStr">
        <is>
          <t>LichLamViec</t>
        </is>
      </c>
      <c r="C57" s="25" t="inlineStr">
        <is>
          <t>GioBatDau</t>
        </is>
      </c>
      <c r="D57" s="24" t="inlineStr">
        <is>
          <t>TIME</t>
        </is>
      </c>
      <c r="E57" s="25" t="inlineStr">
        <is>
          <t>time</t>
        </is>
      </c>
      <c r="F57" s="25" t="inlineStr">
        <is>
          <t>Not null</t>
        </is>
      </c>
      <c r="G57" s="25" t="inlineStr">
        <is>
          <t>Giờ bắt đầu ca làm</t>
        </is>
      </c>
      <c r="H57" s="24" t="inlineStr">
        <is>
          <t>DA</t>
        </is>
      </c>
    </row>
    <row r="58">
      <c r="A58" s="26" t="inlineStr">
        <is>
          <t>STF</t>
        </is>
      </c>
      <c r="B58" s="27" t="inlineStr">
        <is>
          <t>LichLamViec</t>
        </is>
      </c>
      <c r="C58" s="27" t="inlineStr">
        <is>
          <t>GioKetThuc</t>
        </is>
      </c>
      <c r="D58" s="26" t="inlineStr">
        <is>
          <t>TIME</t>
        </is>
      </c>
      <c r="E58" s="27" t="inlineStr">
        <is>
          <t>time</t>
        </is>
      </c>
      <c r="F58" s="27" t="inlineStr">
        <is>
          <t>Lớn hơn GioBatDau, not null</t>
        </is>
      </c>
      <c r="G58" s="27" t="inlineStr">
        <is>
          <t>Giờ kết thúc ca làm</t>
        </is>
      </c>
      <c r="H58" s="26" t="inlineStr">
        <is>
          <t>DA</t>
        </is>
      </c>
    </row>
    <row r="59">
      <c r="A59" s="24" t="inlineStr">
        <is>
          <t>STF</t>
        </is>
      </c>
      <c r="B59" s="25" t="inlineStr">
        <is>
          <t>LichLamViec</t>
        </is>
      </c>
      <c r="C59" s="25" t="inlineStr">
        <is>
          <t>TrangThai</t>
        </is>
      </c>
      <c r="D59" s="24" t="inlineStr">
        <is>
          <t>ENUM</t>
        </is>
      </c>
      <c r="E59" s="25" t="inlineStr">
        <is>
          <t>varchar(30) + CHECK</t>
        </is>
      </c>
      <c r="F59" s="25" t="inlineStr">
        <is>
          <t>Not null</t>
        </is>
      </c>
      <c r="G59" s="25" t="inlineStr">
        <is>
          <t>Trạng thái ca làm việc</t>
        </is>
      </c>
      <c r="H59" s="24" t="inlineStr">
        <is>
          <t>DA</t>
        </is>
      </c>
    </row>
    <row r="60">
      <c r="A60" s="26" t="inlineStr">
        <is>
          <t>PRM</t>
        </is>
      </c>
      <c r="B60" s="27" t="inlineStr">
        <is>
          <t>KhuyenMai</t>
        </is>
      </c>
      <c r="C60" s="27" t="inlineStr">
        <is>
          <t>Id</t>
        </is>
      </c>
      <c r="D60" s="26" t="inlineStr">
        <is>
          <t>UUID</t>
        </is>
      </c>
      <c r="E60" s="27" t="inlineStr">
        <is>
          <t>uuid</t>
        </is>
      </c>
      <c r="F60" s="27" t="inlineStr">
        <is>
          <t>Khóa chính, not null</t>
        </is>
      </c>
      <c r="G60" s="27" t="inlineStr">
        <is>
          <t>Mã định danh chương trình khuyến mãi</t>
        </is>
      </c>
      <c r="H60" s="26" t="inlineStr">
        <is>
          <t>DA</t>
        </is>
      </c>
    </row>
    <row r="61">
      <c r="A61" s="24" t="inlineStr">
        <is>
          <t>PRM</t>
        </is>
      </c>
      <c r="B61" s="25" t="inlineStr">
        <is>
          <t>KhuyenMai</t>
        </is>
      </c>
      <c r="C61" s="25" t="inlineStr">
        <is>
          <t>MaCode</t>
        </is>
      </c>
      <c r="D61" s="24" t="inlineStr">
        <is>
          <t>STRING</t>
        </is>
      </c>
      <c r="E61" s="25" t="inlineStr">
        <is>
          <t>varchar(50)</t>
        </is>
      </c>
      <c r="F61" s="25" t="inlineStr">
        <is>
          <t>Unique, not null</t>
        </is>
      </c>
      <c r="G61" s="25" t="inlineStr">
        <is>
          <t>Mã khuyến mãi khách hàng nhập</t>
        </is>
      </c>
      <c r="H61" s="24" t="inlineStr">
        <is>
          <t>DA</t>
        </is>
      </c>
    </row>
    <row r="62">
      <c r="A62" s="26" t="inlineStr">
        <is>
          <t>PRM</t>
        </is>
      </c>
      <c r="B62" s="27" t="inlineStr">
        <is>
          <t>KhuyenMai</t>
        </is>
      </c>
      <c r="C62" s="27" t="inlineStr">
        <is>
          <t>MoTa</t>
        </is>
      </c>
      <c r="D62" s="26" t="inlineStr">
        <is>
          <t>TEXT</t>
        </is>
      </c>
      <c r="E62" s="27" t="inlineStr">
        <is>
          <t>text</t>
        </is>
      </c>
      <c r="F62" s="27" t="inlineStr">
        <is>
          <t>Cho phép null</t>
        </is>
      </c>
      <c r="G62" s="27" t="inlineStr">
        <is>
          <t>Mô tả chương trình khuyến mãi</t>
        </is>
      </c>
      <c r="H62" s="26" t="inlineStr">
        <is>
          <t>DA</t>
        </is>
      </c>
    </row>
    <row r="63">
      <c r="A63" s="24" t="inlineStr">
        <is>
          <t>PRM</t>
        </is>
      </c>
      <c r="B63" s="25" t="inlineStr">
        <is>
          <t>KhuyenMai</t>
        </is>
      </c>
      <c r="C63" s="25" t="inlineStr">
        <is>
          <t>LoaiGiamGia</t>
        </is>
      </c>
      <c r="D63" s="24" t="inlineStr">
        <is>
          <t>ENUM</t>
        </is>
      </c>
      <c r="E63" s="25" t="inlineStr">
        <is>
          <t>varchar(30) + CHECK</t>
        </is>
      </c>
      <c r="F63" s="25" t="inlineStr">
        <is>
          <t>Not null</t>
        </is>
      </c>
      <c r="G63" s="25" t="inlineStr">
        <is>
          <t>Hình thức giảm giá</t>
        </is>
      </c>
      <c r="H63" s="24" t="inlineStr">
        <is>
          <t>DA</t>
        </is>
      </c>
    </row>
    <row r="64">
      <c r="A64" s="26" t="inlineStr">
        <is>
          <t>PRM</t>
        </is>
      </c>
      <c r="B64" s="27" t="inlineStr">
        <is>
          <t>KhuyenMai</t>
        </is>
      </c>
      <c r="C64" s="27" t="inlineStr">
        <is>
          <t>GiaTri</t>
        </is>
      </c>
      <c r="D64" s="26" t="inlineStr">
        <is>
          <t>DECIMAL</t>
        </is>
      </c>
      <c r="E64" s="27" t="inlineStr">
        <is>
          <t>numeric(5,2)</t>
        </is>
      </c>
      <c r="F64" s="27" t="inlineStr">
        <is>
          <t>Lớn hơn 0; không quá 100 nếu giảm theo phần trăm</t>
        </is>
      </c>
      <c r="G64" s="27" t="inlineStr">
        <is>
          <t>Giá trị giảm theo hình thức đã chọn</t>
        </is>
      </c>
      <c r="H64" s="26" t="inlineStr">
        <is>
          <t>DA</t>
        </is>
      </c>
    </row>
    <row r="65">
      <c r="A65" s="24" t="inlineStr">
        <is>
          <t>PRM</t>
        </is>
      </c>
      <c r="B65" s="25" t="inlineStr">
        <is>
          <t>KhuyenMai</t>
        </is>
      </c>
      <c r="C65" s="25" t="inlineStr">
        <is>
          <t>GiaTriDonHangToiThieu</t>
        </is>
      </c>
      <c r="D65" s="24" t="inlineStr">
        <is>
          <t>DECIMAL</t>
        </is>
      </c>
      <c r="E65" s="25" t="inlineStr">
        <is>
          <t>numeric(12,0)</t>
        </is>
      </c>
      <c r="F65" s="25" t="inlineStr">
        <is>
          <t>Không âm, not null</t>
        </is>
      </c>
      <c r="G65" s="25" t="inlineStr">
        <is>
          <t>Giá trị đơn hàng tối thiểu để áp dụng</t>
        </is>
      </c>
      <c r="H65" s="24" t="inlineStr">
        <is>
          <t>DA</t>
        </is>
      </c>
    </row>
    <row r="66">
      <c r="A66" s="26" t="inlineStr">
        <is>
          <t>PRM</t>
        </is>
      </c>
      <c r="B66" s="27" t="inlineStr">
        <is>
          <t>KhuyenMai</t>
        </is>
      </c>
      <c r="C66" s="27" t="inlineStr">
        <is>
          <t>GiaTriGiamToiDa</t>
        </is>
      </c>
      <c r="D66" s="26" t="inlineStr">
        <is>
          <t>DECIMAL</t>
        </is>
      </c>
      <c r="E66" s="27" t="inlineStr">
        <is>
          <t>numeric(12,0)</t>
        </is>
      </c>
      <c r="F66" s="27" t="inlineStr">
        <is>
          <t>Cho phép null; nếu có phải lớn hơn 0</t>
        </is>
      </c>
      <c r="G66" s="27" t="inlineStr">
        <is>
          <t>Số tiền giảm tối đa</t>
        </is>
      </c>
      <c r="H66" s="26" t="inlineStr">
        <is>
          <t>DA</t>
        </is>
      </c>
    </row>
    <row r="67">
      <c r="A67" s="24" t="inlineStr">
        <is>
          <t>PRM</t>
        </is>
      </c>
      <c r="B67" s="25" t="inlineStr">
        <is>
          <t>KhuyenMai</t>
        </is>
      </c>
      <c r="C67" s="25" t="inlineStr">
        <is>
          <t>NgayBatDau</t>
        </is>
      </c>
      <c r="D67" s="24" t="inlineStr">
        <is>
          <t>DATETIME</t>
        </is>
      </c>
      <c r="E67" s="25" t="inlineStr">
        <is>
          <t>timestamptz</t>
        </is>
      </c>
      <c r="F67" s="25" t="inlineStr">
        <is>
          <t>Not null</t>
        </is>
      </c>
      <c r="G67" s="25" t="inlineStr">
        <is>
          <t>Thời điểm bắt đầu chương trình</t>
        </is>
      </c>
      <c r="H67" s="24" t="inlineStr">
        <is>
          <t>DA</t>
        </is>
      </c>
    </row>
    <row r="68">
      <c r="A68" s="26" t="inlineStr">
        <is>
          <t>PRM</t>
        </is>
      </c>
      <c r="B68" s="27" t="inlineStr">
        <is>
          <t>KhuyenMai</t>
        </is>
      </c>
      <c r="C68" s="27" t="inlineStr">
        <is>
          <t>NgayKetThuc</t>
        </is>
      </c>
      <c r="D68" s="26" t="inlineStr">
        <is>
          <t>DATETIME</t>
        </is>
      </c>
      <c r="E68" s="27" t="inlineStr">
        <is>
          <t>timestamptz</t>
        </is>
      </c>
      <c r="F68" s="27" t="inlineStr">
        <is>
          <t>Lớn hơn NgayBatDau, not null</t>
        </is>
      </c>
      <c r="G68" s="27" t="inlineStr">
        <is>
          <t>Thời điểm kết thúc chương trình</t>
        </is>
      </c>
      <c r="H68" s="26" t="inlineStr">
        <is>
          <t>DA</t>
        </is>
      </c>
    </row>
    <row r="69">
      <c r="A69" s="24" t="inlineStr">
        <is>
          <t>PRM</t>
        </is>
      </c>
      <c r="B69" s="25" t="inlineStr">
        <is>
          <t>KhuyenMai</t>
        </is>
      </c>
      <c r="C69" s="25" t="inlineStr">
        <is>
          <t>GioiHanMoiKhach</t>
        </is>
      </c>
      <c r="D69" s="24" t="inlineStr">
        <is>
          <t>INTEGER</t>
        </is>
      </c>
      <c r="E69" s="25" t="inlineStr">
        <is>
          <t>integer</t>
        </is>
      </c>
      <c r="F69" s="25" t="inlineStr">
        <is>
          <t>Cho phép null; nếu có phải lớn hơn 0</t>
        </is>
      </c>
      <c r="G69" s="25" t="inlineStr">
        <is>
          <t>Số lần sử dụng tối đa của mỗi khách</t>
        </is>
      </c>
      <c r="H69" s="24" t="inlineStr">
        <is>
          <t>DA</t>
        </is>
      </c>
    </row>
    <row r="70">
      <c r="A70" s="26" t="inlineStr">
        <is>
          <t>PRM</t>
        </is>
      </c>
      <c r="B70" s="27" t="inlineStr">
        <is>
          <t>KhuyenMai</t>
        </is>
      </c>
      <c r="C70" s="27" t="inlineStr">
        <is>
          <t>SoLuong</t>
        </is>
      </c>
      <c r="D70" s="26" t="inlineStr">
        <is>
          <t>INTEGER</t>
        </is>
      </c>
      <c r="E70" s="27" t="inlineStr">
        <is>
          <t>integer</t>
        </is>
      </c>
      <c r="F70" s="27" t="inlineStr">
        <is>
          <t>Cho phép null; nếu có phải lớn hơn 0</t>
        </is>
      </c>
      <c r="G70" s="27" t="inlineStr">
        <is>
          <t>Tổng số lượt sử dụng tối đa</t>
        </is>
      </c>
      <c r="H70" s="26" t="inlineStr">
        <is>
          <t>DA</t>
        </is>
      </c>
    </row>
    <row r="71">
      <c r="A71" s="24" t="inlineStr">
        <is>
          <t>PRM</t>
        </is>
      </c>
      <c r="B71" s="25" t="inlineStr">
        <is>
          <t>KhuyenMai</t>
        </is>
      </c>
      <c r="C71" s="25" t="inlineStr">
        <is>
          <t>TrangThai</t>
        </is>
      </c>
      <c r="D71" s="24" t="inlineStr">
        <is>
          <t>ENUM</t>
        </is>
      </c>
      <c r="E71" s="25" t="inlineStr">
        <is>
          <t>varchar(30) + CHECK</t>
        </is>
      </c>
      <c r="F71" s="25" t="inlineStr">
        <is>
          <t>Not null</t>
        </is>
      </c>
      <c r="G71" s="25" t="inlineStr">
        <is>
          <t>Trạng thái quản lý chương trình</t>
        </is>
      </c>
      <c r="H71" s="24" t="inlineStr">
        <is>
          <t>DA</t>
        </is>
      </c>
    </row>
    <row r="72">
      <c r="A72" s="26" t="inlineStr">
        <is>
          <t>ORD</t>
        </is>
      </c>
      <c r="B72" s="27" t="inlineStr">
        <is>
          <t>GioHang</t>
        </is>
      </c>
      <c r="C72" s="27" t="inlineStr">
        <is>
          <t>Id</t>
        </is>
      </c>
      <c r="D72" s="26" t="inlineStr">
        <is>
          <t>UUID</t>
        </is>
      </c>
      <c r="E72" s="27" t="inlineStr">
        <is>
          <t>uuid</t>
        </is>
      </c>
      <c r="F72" s="27" t="inlineStr">
        <is>
          <t>Khóa chính, not null</t>
        </is>
      </c>
      <c r="G72" s="27" t="inlineStr">
        <is>
          <t>Mã định danh giỏ hàng</t>
        </is>
      </c>
      <c r="H72" s="26" t="inlineStr">
        <is>
          <t>DA</t>
        </is>
      </c>
    </row>
    <row r="73">
      <c r="A73" s="24" t="inlineStr">
        <is>
          <t>ORD</t>
        </is>
      </c>
      <c r="B73" s="25" t="inlineStr">
        <is>
          <t>GioHang</t>
        </is>
      </c>
      <c r="C73" s="25" t="inlineStr">
        <is>
          <t>IdKhachHang</t>
        </is>
      </c>
      <c r="D73" s="24" t="inlineStr">
        <is>
          <t>UUID</t>
        </is>
      </c>
      <c r="E73" s="25" t="inlineStr">
        <is>
          <t>uuid</t>
        </is>
      </c>
      <c r="F73" s="25" t="inlineStr">
        <is>
          <t>Khóa ngoại tham chiếu KhachHang.MaNguoiDung; unique, not null</t>
        </is>
      </c>
      <c r="G73" s="25" t="inlineStr">
        <is>
          <t>Khách hàng sở hữu giỏ hàng</t>
        </is>
      </c>
      <c r="H73" s="24" t="inlineStr">
        <is>
          <t>DA</t>
        </is>
      </c>
    </row>
    <row r="74">
      <c r="A74" s="26" t="inlineStr">
        <is>
          <t>ORD</t>
        </is>
      </c>
      <c r="B74" s="27" t="inlineStr">
        <is>
          <t>GioHang</t>
        </is>
      </c>
      <c r="C74" s="27" t="inlineStr">
        <is>
          <t>NgayTao</t>
        </is>
      </c>
      <c r="D74" s="26" t="inlineStr">
        <is>
          <t>DATETIME</t>
        </is>
      </c>
      <c r="E74" s="27" t="inlineStr">
        <is>
          <t>timestamptz</t>
        </is>
      </c>
      <c r="F74" s="27" t="inlineStr">
        <is>
          <t>Not null</t>
        </is>
      </c>
      <c r="G74" s="27" t="inlineStr">
        <is>
          <t>Thời điểm tạo giỏ hàng</t>
        </is>
      </c>
      <c r="H74" s="26" t="inlineStr">
        <is>
          <t>DA</t>
        </is>
      </c>
    </row>
    <row r="75">
      <c r="A75" s="24" t="inlineStr">
        <is>
          <t>ORD</t>
        </is>
      </c>
      <c r="B75" s="25" t="inlineStr">
        <is>
          <t>GioHang</t>
        </is>
      </c>
      <c r="C75" s="25" t="inlineStr">
        <is>
          <t>NgayCapNhat</t>
        </is>
      </c>
      <c r="D75" s="24" t="inlineStr">
        <is>
          <t>DATETIME</t>
        </is>
      </c>
      <c r="E75" s="25" t="inlineStr">
        <is>
          <t>timestamptz</t>
        </is>
      </c>
      <c r="F75" s="25" t="inlineStr">
        <is>
          <t>Not null</t>
        </is>
      </c>
      <c r="G75" s="25" t="inlineStr">
        <is>
          <t>Thời điểm cập nhật giỏ hàng</t>
        </is>
      </c>
      <c r="H75" s="24" t="inlineStr">
        <is>
          <t>DA</t>
        </is>
      </c>
    </row>
    <row r="76">
      <c r="A76" s="26" t="inlineStr">
        <is>
          <t>ORD</t>
        </is>
      </c>
      <c r="B76" s="27" t="inlineStr">
        <is>
          <t>ChiTietGioHang</t>
        </is>
      </c>
      <c r="C76" s="27" t="inlineStr">
        <is>
          <t>Id</t>
        </is>
      </c>
      <c r="D76" s="26" t="inlineStr">
        <is>
          <t>UUID</t>
        </is>
      </c>
      <c r="E76" s="27" t="inlineStr">
        <is>
          <t>uuid</t>
        </is>
      </c>
      <c r="F76" s="27" t="inlineStr">
        <is>
          <t>Khóa chính, not null</t>
        </is>
      </c>
      <c r="G76" s="27" t="inlineStr">
        <is>
          <t>Mã định danh chi tiết giỏ hàng</t>
        </is>
      </c>
      <c r="H76" s="26" t="inlineStr">
        <is>
          <t>DA</t>
        </is>
      </c>
    </row>
    <row r="77">
      <c r="A77" s="24" t="inlineStr">
        <is>
          <t>ORD</t>
        </is>
      </c>
      <c r="B77" s="25" t="inlineStr">
        <is>
          <t>ChiTietGioHang</t>
        </is>
      </c>
      <c r="C77" s="25" t="inlineStr">
        <is>
          <t>IdGioHang</t>
        </is>
      </c>
      <c r="D77" s="24" t="inlineStr">
        <is>
          <t>UUID</t>
        </is>
      </c>
      <c r="E77" s="25" t="inlineStr">
        <is>
          <t>uuid</t>
        </is>
      </c>
      <c r="F77" s="25" t="inlineStr">
        <is>
          <t>Khóa ngoại tham chiếu GioHang.Id; not null</t>
        </is>
      </c>
      <c r="G77" s="25" t="inlineStr">
        <is>
          <t>Giỏ hàng chứa sản phẩm</t>
        </is>
      </c>
      <c r="H77" s="24" t="inlineStr">
        <is>
          <t>DA</t>
        </is>
      </c>
    </row>
    <row r="78">
      <c r="A78" s="26" t="inlineStr">
        <is>
          <t>ORD</t>
        </is>
      </c>
      <c r="B78" s="27" t="inlineStr">
        <is>
          <t>ChiTietGioHang</t>
        </is>
      </c>
      <c r="C78" s="27" t="inlineStr">
        <is>
          <t>IdDichVu</t>
        </is>
      </c>
      <c r="D78" s="26" t="inlineStr">
        <is>
          <t>UUID</t>
        </is>
      </c>
      <c r="E78" s="27" t="inlineStr">
        <is>
          <t>uuid</t>
        </is>
      </c>
      <c r="F78" s="27" t="inlineStr">
        <is>
          <t>Khóa ngoại tham chiếu DichVu.Id; cho phép null</t>
        </is>
      </c>
      <c r="G78" s="27" t="inlineStr">
        <is>
          <t>Dịch vụ được thêm vào giỏ</t>
        </is>
      </c>
      <c r="H78" s="26" t="inlineStr">
        <is>
          <t>DA</t>
        </is>
      </c>
    </row>
    <row r="79">
      <c r="A79" s="24" t="inlineStr">
        <is>
          <t>ORD</t>
        </is>
      </c>
      <c r="B79" s="25" t="inlineStr">
        <is>
          <t>ChiTietGioHang</t>
        </is>
      </c>
      <c r="C79" s="25" t="inlineStr">
        <is>
          <t>IdGoiDichVu</t>
        </is>
      </c>
      <c r="D79" s="24" t="inlineStr">
        <is>
          <t>UUID</t>
        </is>
      </c>
      <c r="E79" s="25" t="inlineStr">
        <is>
          <t>uuid</t>
        </is>
      </c>
      <c r="F79" s="25" t="inlineStr">
        <is>
          <t>Khóa ngoại tham chiếu GoiDichVu.Id; cho phép null</t>
        </is>
      </c>
      <c r="G79" s="25" t="inlineStr">
        <is>
          <t>Gói dịch vụ được thêm vào giỏ</t>
        </is>
      </c>
      <c r="H79" s="24" t="inlineStr">
        <is>
          <t>DA</t>
        </is>
      </c>
    </row>
    <row r="80">
      <c r="A80" s="26" t="inlineStr">
        <is>
          <t>ORD</t>
        </is>
      </c>
      <c r="B80" s="27" t="inlineStr">
        <is>
          <t>ChiTietGioHang</t>
        </is>
      </c>
      <c r="C80" s="27" t="inlineStr">
        <is>
          <t>DonGia</t>
        </is>
      </c>
      <c r="D80" s="26" t="inlineStr">
        <is>
          <t>DECIMAL</t>
        </is>
      </c>
      <c r="E80" s="27" t="inlineStr">
        <is>
          <t>numeric(12,0)</t>
        </is>
      </c>
      <c r="F80" s="27" t="inlineStr">
        <is>
          <t>Không âm, not null</t>
        </is>
      </c>
      <c r="G80" s="27" t="inlineStr">
        <is>
          <t>Giá tham khảo tại thời điểm thêm vào giỏ</t>
        </is>
      </c>
      <c r="H80" s="26" t="inlineStr">
        <is>
          <t>DA</t>
        </is>
      </c>
    </row>
    <row r="81">
      <c r="A81" s="24" t="inlineStr">
        <is>
          <t>ORD</t>
        </is>
      </c>
      <c r="B81" s="25" t="inlineStr">
        <is>
          <t>ChiTietGioHang</t>
        </is>
      </c>
      <c r="C81" s="25" t="inlineStr">
        <is>
          <t>NgayThem</t>
        </is>
      </c>
      <c r="D81" s="24" t="inlineStr">
        <is>
          <t>DATETIME</t>
        </is>
      </c>
      <c r="E81" s="25" t="inlineStr">
        <is>
          <t>timestamptz</t>
        </is>
      </c>
      <c r="F81" s="25" t="inlineStr">
        <is>
          <t>Not null</t>
        </is>
      </c>
      <c r="G81" s="25" t="inlineStr">
        <is>
          <t>Thời điểm thêm sản phẩm vào giỏ</t>
        </is>
      </c>
      <c r="H81" s="24" t="inlineStr">
        <is>
          <t>DA</t>
        </is>
      </c>
    </row>
    <row r="82">
      <c r="A82" s="26" t="inlineStr">
        <is>
          <t>ORD</t>
        </is>
      </c>
      <c r="B82" s="27" t="inlineStr">
        <is>
          <t>DonHang</t>
        </is>
      </c>
      <c r="C82" s="27" t="inlineStr">
        <is>
          <t>Id</t>
        </is>
      </c>
      <c r="D82" s="26" t="inlineStr">
        <is>
          <t>UUID</t>
        </is>
      </c>
      <c r="E82" s="27" t="inlineStr">
        <is>
          <t>uuid</t>
        </is>
      </c>
      <c r="F82" s="27" t="inlineStr">
        <is>
          <t>Khóa chính, not null</t>
        </is>
      </c>
      <c r="G82" s="27" t="inlineStr">
        <is>
          <t>Mã định danh đơn hàng</t>
        </is>
      </c>
      <c r="H82" s="26" t="inlineStr">
        <is>
          <t>DA</t>
        </is>
      </c>
    </row>
    <row r="83">
      <c r="A83" s="24" t="inlineStr">
        <is>
          <t>ORD</t>
        </is>
      </c>
      <c r="B83" s="25" t="inlineStr">
        <is>
          <t>DonHang</t>
        </is>
      </c>
      <c r="C83" s="25" t="inlineStr">
        <is>
          <t>MaDonHang</t>
        </is>
      </c>
      <c r="D83" s="24" t="inlineStr">
        <is>
          <t>STRING</t>
        </is>
      </c>
      <c r="E83" s="25" t="inlineStr">
        <is>
          <t>varchar(50)</t>
        </is>
      </c>
      <c r="F83" s="25" t="inlineStr">
        <is>
          <t>Unique, not null</t>
        </is>
      </c>
      <c r="G83" s="25" t="inlineStr">
        <is>
          <t>Mã đơn hàng hiển thị cho người dùng</t>
        </is>
      </c>
      <c r="H83" s="24" t="inlineStr">
        <is>
          <t>DA</t>
        </is>
      </c>
    </row>
    <row r="84">
      <c r="A84" s="26" t="inlineStr">
        <is>
          <t>ORD</t>
        </is>
      </c>
      <c r="B84" s="27" t="inlineStr">
        <is>
          <t>DonHang</t>
        </is>
      </c>
      <c r="C84" s="27" t="inlineStr">
        <is>
          <t>IdKhachHang</t>
        </is>
      </c>
      <c r="D84" s="26" t="inlineStr">
        <is>
          <t>UUID</t>
        </is>
      </c>
      <c r="E84" s="27" t="inlineStr">
        <is>
          <t>uuid</t>
        </is>
      </c>
      <c r="F84" s="27" t="inlineStr">
        <is>
          <t>Khóa ngoại tham chiếu KhachHang.MaNguoiDung; not null</t>
        </is>
      </c>
      <c r="G84" s="27" t="inlineStr">
        <is>
          <t>Khách hàng tạo đơn</t>
        </is>
      </c>
      <c r="H84" s="26" t="inlineStr">
        <is>
          <t>DA</t>
        </is>
      </c>
    </row>
    <row r="85">
      <c r="A85" s="24" t="inlineStr">
        <is>
          <t>ORD</t>
        </is>
      </c>
      <c r="B85" s="25" t="inlineStr">
        <is>
          <t>DonHang</t>
        </is>
      </c>
      <c r="C85" s="25" t="inlineStr">
        <is>
          <t>TongTienHang</t>
        </is>
      </c>
      <c r="D85" s="24" t="inlineStr">
        <is>
          <t>DECIMAL</t>
        </is>
      </c>
      <c r="E85" s="25" t="inlineStr">
        <is>
          <t>numeric(12,0)</t>
        </is>
      </c>
      <c r="F85" s="25" t="inlineStr">
        <is>
          <t>Không âm, not null</t>
        </is>
      </c>
      <c r="G85" s="25" t="inlineStr">
        <is>
          <t>Tổng giá trị sản phẩm trước giảm giá</t>
        </is>
      </c>
      <c r="H85" s="24" t="inlineStr">
        <is>
          <t>DA</t>
        </is>
      </c>
    </row>
    <row r="86">
      <c r="A86" s="26" t="inlineStr">
        <is>
          <t>ORD</t>
        </is>
      </c>
      <c r="B86" s="27" t="inlineStr">
        <is>
          <t>DonHang</t>
        </is>
      </c>
      <c r="C86" s="27" t="inlineStr">
        <is>
          <t>TongGiamGia</t>
        </is>
      </c>
      <c r="D86" s="26" t="inlineStr">
        <is>
          <t>DECIMAL</t>
        </is>
      </c>
      <c r="E86" s="27" t="inlineStr">
        <is>
          <t>numeric(12,0)</t>
        </is>
      </c>
      <c r="F86" s="27" t="inlineStr">
        <is>
          <t>Từ 0 đến TongTienHang, not null</t>
        </is>
      </c>
      <c r="G86" s="27" t="inlineStr">
        <is>
          <t>Tổng số tiền được giảm</t>
        </is>
      </c>
      <c r="H86" s="26" t="inlineStr">
        <is>
          <t>DA</t>
        </is>
      </c>
    </row>
    <row r="87">
      <c r="A87" s="24" t="inlineStr">
        <is>
          <t>ORD</t>
        </is>
      </c>
      <c r="B87" s="25" t="inlineStr">
        <is>
          <t>DonHang</t>
        </is>
      </c>
      <c r="C87" s="25" t="inlineStr">
        <is>
          <t>TongThanhToan</t>
        </is>
      </c>
      <c r="D87" s="24" t="inlineStr">
        <is>
          <t>DECIMAL</t>
        </is>
      </c>
      <c r="E87" s="25" t="inlineStr">
        <is>
          <t>numeric(12,0)</t>
        </is>
      </c>
      <c r="F87" s="25" t="inlineStr">
        <is>
          <t>Bằng TongTienHang trừ TongGiamGia, not null</t>
        </is>
      </c>
      <c r="G87" s="25" t="inlineStr">
        <is>
          <t>Tổng số tiền phải thanh toán</t>
        </is>
      </c>
      <c r="H87" s="24" t="inlineStr">
        <is>
          <t>DA</t>
        </is>
      </c>
    </row>
    <row r="88">
      <c r="A88" s="26" t="inlineStr">
        <is>
          <t>ORD</t>
        </is>
      </c>
      <c r="B88" s="27" t="inlineStr">
        <is>
          <t>DonHang</t>
        </is>
      </c>
      <c r="C88" s="27" t="inlineStr">
        <is>
          <t>TrangThai</t>
        </is>
      </c>
      <c r="D88" s="26" t="inlineStr">
        <is>
          <t>ENUM</t>
        </is>
      </c>
      <c r="E88" s="27" t="inlineStr">
        <is>
          <t>varchar(30) + CHECK</t>
        </is>
      </c>
      <c r="F88" s="27" t="inlineStr">
        <is>
          <t>Not null</t>
        </is>
      </c>
      <c r="G88" s="27" t="inlineStr">
        <is>
          <t>Trạng thái đơn hàng</t>
        </is>
      </c>
      <c r="H88" s="26" t="inlineStr">
        <is>
          <t>DA</t>
        </is>
      </c>
    </row>
    <row r="89">
      <c r="A89" s="24" t="inlineStr">
        <is>
          <t>ORD</t>
        </is>
      </c>
      <c r="B89" s="25" t="inlineStr">
        <is>
          <t>DonHang</t>
        </is>
      </c>
      <c r="C89" s="25" t="inlineStr">
        <is>
          <t>GhiChu</t>
        </is>
      </c>
      <c r="D89" s="24" t="inlineStr">
        <is>
          <t>TEXT</t>
        </is>
      </c>
      <c r="E89" s="25" t="inlineStr">
        <is>
          <t>text</t>
        </is>
      </c>
      <c r="F89" s="25" t="inlineStr">
        <is>
          <t>Cho phép null</t>
        </is>
      </c>
      <c r="G89" s="25" t="inlineStr">
        <is>
          <t>Ghi chú về đơn hàng</t>
        </is>
      </c>
      <c r="H89" s="24" t="inlineStr">
        <is>
          <t>DA</t>
        </is>
      </c>
    </row>
    <row r="90">
      <c r="A90" s="26" t="inlineStr">
        <is>
          <t>ORD</t>
        </is>
      </c>
      <c r="B90" s="27" t="inlineStr">
        <is>
          <t>DonHang</t>
        </is>
      </c>
      <c r="C90" s="27" t="inlineStr">
        <is>
          <t>NgayTao</t>
        </is>
      </c>
      <c r="D90" s="26" t="inlineStr">
        <is>
          <t>DATETIME</t>
        </is>
      </c>
      <c r="E90" s="27" t="inlineStr">
        <is>
          <t>timestamptz</t>
        </is>
      </c>
      <c r="F90" s="27" t="inlineStr">
        <is>
          <t>Not null</t>
        </is>
      </c>
      <c r="G90" s="27" t="inlineStr">
        <is>
          <t>Thời điểm tạo đơn hàng</t>
        </is>
      </c>
      <c r="H90" s="26" t="inlineStr">
        <is>
          <t>DA</t>
        </is>
      </c>
    </row>
    <row r="91">
      <c r="A91" s="24" t="inlineStr">
        <is>
          <t>ORD</t>
        </is>
      </c>
      <c r="B91" s="25" t="inlineStr">
        <is>
          <t>DonHang</t>
        </is>
      </c>
      <c r="C91" s="25" t="inlineStr">
        <is>
          <t>NgayCapNhat</t>
        </is>
      </c>
      <c r="D91" s="24" t="inlineStr">
        <is>
          <t>DATETIME</t>
        </is>
      </c>
      <c r="E91" s="25" t="inlineStr">
        <is>
          <t>timestamptz</t>
        </is>
      </c>
      <c r="F91" s="25" t="inlineStr">
        <is>
          <t>Not null</t>
        </is>
      </c>
      <c r="G91" s="25" t="inlineStr">
        <is>
          <t>Thời điểm cập nhật đơn hàng</t>
        </is>
      </c>
      <c r="H91" s="24" t="inlineStr">
        <is>
          <t>DA</t>
        </is>
      </c>
    </row>
    <row r="92">
      <c r="A92" s="26" t="inlineStr">
        <is>
          <t>ORD</t>
        </is>
      </c>
      <c r="B92" s="27" t="inlineStr">
        <is>
          <t>DonHang</t>
        </is>
      </c>
      <c r="C92" s="27" t="inlineStr">
        <is>
          <t>HetHanThanhToanLuc</t>
        </is>
      </c>
      <c r="D92" s="26" t="inlineStr">
        <is>
          <t>DATETIME</t>
        </is>
      </c>
      <c r="E92" s="27" t="inlineStr">
        <is>
          <t>timestamptz</t>
        </is>
      </c>
      <c r="F92" s="27" t="inlineStr">
        <is>
          <t>Lớn hơn NgayTao, not null</t>
        </is>
      </c>
      <c r="G92" s="27" t="inlineStr">
        <is>
          <t>Thời điểm hết hạn thanh toán đơn</t>
        </is>
      </c>
      <c r="H92" s="26" t="inlineStr">
        <is>
          <t>DA</t>
        </is>
      </c>
    </row>
    <row r="93">
      <c r="A93" s="24" t="inlineStr">
        <is>
          <t>ORD</t>
        </is>
      </c>
      <c r="B93" s="25" t="inlineStr">
        <is>
          <t>ChiTietDonHang</t>
        </is>
      </c>
      <c r="C93" s="25" t="inlineStr">
        <is>
          <t>Id</t>
        </is>
      </c>
      <c r="D93" s="24" t="inlineStr">
        <is>
          <t>UUID</t>
        </is>
      </c>
      <c r="E93" s="25" t="inlineStr">
        <is>
          <t>uuid</t>
        </is>
      </c>
      <c r="F93" s="25" t="inlineStr">
        <is>
          <t>Khóa chính, not null</t>
        </is>
      </c>
      <c r="G93" s="25" t="inlineStr">
        <is>
          <t>Mã định danh chi tiết đơn hàng</t>
        </is>
      </c>
      <c r="H93" s="24" t="inlineStr">
        <is>
          <t>DA</t>
        </is>
      </c>
    </row>
    <row r="94">
      <c r="A94" s="26" t="inlineStr">
        <is>
          <t>ORD</t>
        </is>
      </c>
      <c r="B94" s="27" t="inlineStr">
        <is>
          <t>ChiTietDonHang</t>
        </is>
      </c>
      <c r="C94" s="27" t="inlineStr">
        <is>
          <t>IdDonHang</t>
        </is>
      </c>
      <c r="D94" s="26" t="inlineStr">
        <is>
          <t>UUID</t>
        </is>
      </c>
      <c r="E94" s="27" t="inlineStr">
        <is>
          <t>uuid</t>
        </is>
      </c>
      <c r="F94" s="27" t="inlineStr">
        <is>
          <t>Khóa ngoại tham chiếu DonHang.Id; not null</t>
        </is>
      </c>
      <c r="G94" s="27" t="inlineStr">
        <is>
          <t>Đơn hàng chứa chi tiết</t>
        </is>
      </c>
      <c r="H94" s="26" t="inlineStr">
        <is>
          <t>DA</t>
        </is>
      </c>
    </row>
    <row r="95">
      <c r="A95" s="24" t="inlineStr">
        <is>
          <t>ORD</t>
        </is>
      </c>
      <c r="B95" s="25" t="inlineStr">
        <is>
          <t>ChiTietDonHang</t>
        </is>
      </c>
      <c r="C95" s="25" t="inlineStr">
        <is>
          <t>IdDichVu</t>
        </is>
      </c>
      <c r="D95" s="24" t="inlineStr">
        <is>
          <t>UUID</t>
        </is>
      </c>
      <c r="E95" s="25" t="inlineStr">
        <is>
          <t>uuid</t>
        </is>
      </c>
      <c r="F95" s="25" t="inlineStr">
        <is>
          <t>Khóa ngoại tham chiếu DichVu.Id; cho phép null</t>
        </is>
      </c>
      <c r="G95" s="25" t="inlineStr">
        <is>
          <t>Dịch vụ được mua</t>
        </is>
      </c>
      <c r="H95" s="24" t="inlineStr">
        <is>
          <t>DA</t>
        </is>
      </c>
    </row>
    <row r="96">
      <c r="A96" s="26" t="inlineStr">
        <is>
          <t>ORD</t>
        </is>
      </c>
      <c r="B96" s="27" t="inlineStr">
        <is>
          <t>ChiTietDonHang</t>
        </is>
      </c>
      <c r="C96" s="27" t="inlineStr">
        <is>
          <t>IdGoiDichVu</t>
        </is>
      </c>
      <c r="D96" s="26" t="inlineStr">
        <is>
          <t>UUID</t>
        </is>
      </c>
      <c r="E96" s="27" t="inlineStr">
        <is>
          <t>uuid</t>
        </is>
      </c>
      <c r="F96" s="27" t="inlineStr">
        <is>
          <t>Khóa ngoại tham chiếu GoiDichVu.Id; cho phép null</t>
        </is>
      </c>
      <c r="G96" s="27" t="inlineStr">
        <is>
          <t>Gói dịch vụ được mua</t>
        </is>
      </c>
      <c r="H96" s="26" t="inlineStr">
        <is>
          <t>DA</t>
        </is>
      </c>
    </row>
    <row r="97">
      <c r="A97" s="24" t="inlineStr">
        <is>
          <t>ORD</t>
        </is>
      </c>
      <c r="B97" s="25" t="inlineStr">
        <is>
          <t>ChiTietDonHang</t>
        </is>
      </c>
      <c r="C97" s="25" t="inlineStr">
        <is>
          <t>TenSanPham</t>
        </is>
      </c>
      <c r="D97" s="24" t="inlineStr">
        <is>
          <t>STRING</t>
        </is>
      </c>
      <c r="E97" s="25" t="inlineStr">
        <is>
          <t>varchar(255)</t>
        </is>
      </c>
      <c r="F97" s="25" t="inlineStr">
        <is>
          <t>Not null</t>
        </is>
      </c>
      <c r="G97" s="25" t="inlineStr">
        <is>
          <t>Tên sản phẩm lưu tại thời điểm mua</t>
        </is>
      </c>
      <c r="H97" s="24" t="inlineStr">
        <is>
          <t>DA</t>
        </is>
      </c>
    </row>
    <row r="98">
      <c r="A98" s="26" t="inlineStr">
        <is>
          <t>ORD</t>
        </is>
      </c>
      <c r="B98" s="27" t="inlineStr">
        <is>
          <t>ChiTietDonHang</t>
        </is>
      </c>
      <c r="C98" s="27" t="inlineStr">
        <is>
          <t>DonGia</t>
        </is>
      </c>
      <c r="D98" s="26" t="inlineStr">
        <is>
          <t>DECIMAL</t>
        </is>
      </c>
      <c r="E98" s="27" t="inlineStr">
        <is>
          <t>numeric(12,0)</t>
        </is>
      </c>
      <c r="F98" s="27" t="inlineStr">
        <is>
          <t>Không âm, not null</t>
        </is>
      </c>
      <c r="G98" s="27" t="inlineStr">
        <is>
          <t>Giá bán tại thời điểm mua</t>
        </is>
      </c>
      <c r="H98" s="26" t="inlineStr">
        <is>
          <t>DA</t>
        </is>
      </c>
    </row>
    <row r="99">
      <c r="A99" s="24" t="inlineStr">
        <is>
          <t>ORD</t>
        </is>
      </c>
      <c r="B99" s="25" t="inlineStr">
        <is>
          <t>ChiTietDonHang</t>
        </is>
      </c>
      <c r="C99" s="25" t="inlineStr">
        <is>
          <t>TienGiam</t>
        </is>
      </c>
      <c r="D99" s="24" t="inlineStr">
        <is>
          <t>DECIMAL</t>
        </is>
      </c>
      <c r="E99" s="25" t="inlineStr">
        <is>
          <t>numeric(12,0)</t>
        </is>
      </c>
      <c r="F99" s="25" t="inlineStr">
        <is>
          <t>Từ 0 đến DonGia, not null</t>
        </is>
      </c>
      <c r="G99" s="25" t="inlineStr">
        <is>
          <t>Số tiền giảm được phân bổ cho chi tiết</t>
        </is>
      </c>
      <c r="H99" s="24" t="inlineStr">
        <is>
          <t>DA</t>
        </is>
      </c>
    </row>
    <row r="100">
      <c r="A100" s="26" t="inlineStr">
        <is>
          <t>ORD</t>
        </is>
      </c>
      <c r="B100" s="27" t="inlineStr">
        <is>
          <t>ChiTietDonHang</t>
        </is>
      </c>
      <c r="C100" s="27" t="inlineStr">
        <is>
          <t>ThanhTien</t>
        </is>
      </c>
      <c r="D100" s="26" t="inlineStr">
        <is>
          <t>DECIMAL</t>
        </is>
      </c>
      <c r="E100" s="27" t="inlineStr">
        <is>
          <t>numeric(12,0)</t>
        </is>
      </c>
      <c r="F100" s="27" t="inlineStr">
        <is>
          <t>Bằng DonGia trừ TienGiam, not null</t>
        </is>
      </c>
      <c r="G100" s="27" t="inlineStr">
        <is>
          <t>Số tiền phải trả cho chi tiết</t>
        </is>
      </c>
      <c r="H100" s="26" t="inlineStr">
        <is>
          <t>DA</t>
        </is>
      </c>
    </row>
    <row r="101">
      <c r="A101" s="24" t="inlineStr">
        <is>
          <t>ORD</t>
        </is>
      </c>
      <c r="B101" s="25" t="inlineStr">
        <is>
          <t>ChiTietDonHang</t>
        </is>
      </c>
      <c r="C101" s="25" t="inlineStr">
        <is>
          <t>GhiChu</t>
        </is>
      </c>
      <c r="D101" s="24" t="inlineStr">
        <is>
          <t>TEXT</t>
        </is>
      </c>
      <c r="E101" s="25" t="inlineStr">
        <is>
          <t>text</t>
        </is>
      </c>
      <c r="F101" s="25" t="inlineStr">
        <is>
          <t>Cho phép null</t>
        </is>
      </c>
      <c r="G101" s="25" t="inlineStr">
        <is>
          <t>Ghi chú về chi tiết đơn</t>
        </is>
      </c>
      <c r="H101" s="24" t="inlineStr">
        <is>
          <t>DA</t>
        </is>
      </c>
    </row>
    <row r="102">
      <c r="A102" s="26" t="inlineStr">
        <is>
          <t>ORD</t>
        </is>
      </c>
      <c r="B102" s="27" t="inlineStr">
        <is>
          <t>ThanhToan</t>
        </is>
      </c>
      <c r="C102" s="27" t="inlineStr">
        <is>
          <t>Id</t>
        </is>
      </c>
      <c r="D102" s="26" t="inlineStr">
        <is>
          <t>UUID</t>
        </is>
      </c>
      <c r="E102" s="27" t="inlineStr">
        <is>
          <t>uuid</t>
        </is>
      </c>
      <c r="F102" s="27" t="inlineStr">
        <is>
          <t>Khóa chính, not null</t>
        </is>
      </c>
      <c r="G102" s="27" t="inlineStr">
        <is>
          <t>Mã định danh lần thanh toán</t>
        </is>
      </c>
      <c r="H102" s="26" t="inlineStr">
        <is>
          <t>DA</t>
        </is>
      </c>
    </row>
    <row r="103">
      <c r="A103" s="24" t="inlineStr">
        <is>
          <t>ORD</t>
        </is>
      </c>
      <c r="B103" s="25" t="inlineStr">
        <is>
          <t>ThanhToan</t>
        </is>
      </c>
      <c r="C103" s="25" t="inlineStr">
        <is>
          <t>IdDonHang</t>
        </is>
      </c>
      <c r="D103" s="24" t="inlineStr">
        <is>
          <t>UUID</t>
        </is>
      </c>
      <c r="E103" s="25" t="inlineStr">
        <is>
          <t>uuid</t>
        </is>
      </c>
      <c r="F103" s="25" t="inlineStr">
        <is>
          <t>Khóa ngoại tham chiếu DonHang.Id; not null</t>
        </is>
      </c>
      <c r="G103" s="25" t="inlineStr">
        <is>
          <t>Đơn hàng được thanh toán</t>
        </is>
      </c>
      <c r="H103" s="24" t="inlineStr">
        <is>
          <t>DA</t>
        </is>
      </c>
    </row>
    <row r="104">
      <c r="A104" s="26" t="inlineStr">
        <is>
          <t>ORD</t>
        </is>
      </c>
      <c r="B104" s="27" t="inlineStr">
        <is>
          <t>ThanhToan</t>
        </is>
      </c>
      <c r="C104" s="27" t="inlineStr">
        <is>
          <t>NhaCungCap</t>
        </is>
      </c>
      <c r="D104" s="26" t="inlineStr">
        <is>
          <t>STRING</t>
        </is>
      </c>
      <c r="E104" s="27" t="inlineStr">
        <is>
          <t>varchar(50)</t>
        </is>
      </c>
      <c r="F104" s="27" t="inlineStr">
        <is>
          <t>Not null</t>
        </is>
      </c>
      <c r="G104" s="27" t="inlineStr">
        <is>
          <t>Tên nhà cung cấp cổng thanh toán</t>
        </is>
      </c>
      <c r="H104" s="26" t="inlineStr">
        <is>
          <t>DA</t>
        </is>
      </c>
    </row>
    <row r="105">
      <c r="A105" s="24" t="inlineStr">
        <is>
          <t>ORD</t>
        </is>
      </c>
      <c r="B105" s="25" t="inlineStr">
        <is>
          <t>ThanhToan</t>
        </is>
      </c>
      <c r="C105" s="25" t="inlineStr">
        <is>
          <t>SoTien</t>
        </is>
      </c>
      <c r="D105" s="24" t="inlineStr">
        <is>
          <t>DECIMAL</t>
        </is>
      </c>
      <c r="E105" s="25" t="inlineStr">
        <is>
          <t>numeric(12,0)</t>
        </is>
      </c>
      <c r="F105" s="25" t="inlineStr">
        <is>
          <t>Không âm, not null</t>
        </is>
      </c>
      <c r="G105" s="25" t="inlineStr">
        <is>
          <t>Số tiền của lần thanh toán</t>
        </is>
      </c>
      <c r="H105" s="24" t="inlineStr">
        <is>
          <t>DA</t>
        </is>
      </c>
    </row>
    <row r="106">
      <c r="A106" s="26" t="inlineStr">
        <is>
          <t>ORD</t>
        </is>
      </c>
      <c r="B106" s="27" t="inlineStr">
        <is>
          <t>ThanhToan</t>
        </is>
      </c>
      <c r="C106" s="27" t="inlineStr">
        <is>
          <t>TrangThai</t>
        </is>
      </c>
      <c r="D106" s="26" t="inlineStr">
        <is>
          <t>ENUM</t>
        </is>
      </c>
      <c r="E106" s="27" t="inlineStr">
        <is>
          <t>varchar(30) + CHECK</t>
        </is>
      </c>
      <c r="F106" s="27" t="inlineStr">
        <is>
          <t>Not null</t>
        </is>
      </c>
      <c r="G106" s="27" t="inlineStr">
        <is>
          <t>Trạng thái lần thanh toán</t>
        </is>
      </c>
      <c r="H106" s="26" t="inlineStr">
        <is>
          <t>DA</t>
        </is>
      </c>
    </row>
    <row r="107">
      <c r="A107" s="24" t="inlineStr">
        <is>
          <t>ORD</t>
        </is>
      </c>
      <c r="B107" s="25" t="inlineStr">
        <is>
          <t>ThanhToan</t>
        </is>
      </c>
      <c r="C107" s="25" t="inlineStr">
        <is>
          <t>MaYeuCau</t>
        </is>
      </c>
      <c r="D107" s="24" t="inlineStr">
        <is>
          <t>STRING</t>
        </is>
      </c>
      <c r="E107" s="25" t="inlineStr">
        <is>
          <t>varchar(50)</t>
        </is>
      </c>
      <c r="F107" s="25" t="inlineStr">
        <is>
          <t>Unique, not null</t>
        </is>
      </c>
      <c r="G107" s="25" t="inlineStr">
        <is>
          <t>Mã yêu cầu gửi đến cổng thanh toán</t>
        </is>
      </c>
      <c r="H107" s="24" t="inlineStr">
        <is>
          <t>DA</t>
        </is>
      </c>
    </row>
    <row r="108">
      <c r="A108" s="26" t="inlineStr">
        <is>
          <t>ORD</t>
        </is>
      </c>
      <c r="B108" s="27" t="inlineStr">
        <is>
          <t>ThanhToan</t>
        </is>
      </c>
      <c r="C108" s="27" t="inlineStr">
        <is>
          <t>MaGiaoDich</t>
        </is>
      </c>
      <c r="D108" s="26" t="inlineStr">
        <is>
          <t>STRING</t>
        </is>
      </c>
      <c r="E108" s="27" t="inlineStr">
        <is>
          <t>varchar(50)</t>
        </is>
      </c>
      <c r="F108" s="27" t="inlineStr">
        <is>
          <t>Cho phép null</t>
        </is>
      </c>
      <c r="G108" s="27" t="inlineStr">
        <is>
          <t>Mã giao dịch do cổng thanh toán cấp</t>
        </is>
      </c>
      <c r="H108" s="26" t="inlineStr">
        <is>
          <t>DA</t>
        </is>
      </c>
    </row>
    <row r="109">
      <c r="A109" s="24" t="inlineStr">
        <is>
          <t>ORD</t>
        </is>
      </c>
      <c r="B109" s="25" t="inlineStr">
        <is>
          <t>ThanhToan</t>
        </is>
      </c>
      <c r="C109" s="25" t="inlineStr">
        <is>
          <t>PaymentUrl</t>
        </is>
      </c>
      <c r="D109" s="24" t="inlineStr">
        <is>
          <t>STRING</t>
        </is>
      </c>
      <c r="E109" s="25" t="inlineStr">
        <is>
          <t>varchar(500)</t>
        </is>
      </c>
      <c r="F109" s="25" t="inlineStr">
        <is>
          <t>Cho phép null</t>
        </is>
      </c>
      <c r="G109" s="25" t="inlineStr">
        <is>
          <t>Đường dẫn thanh toán</t>
        </is>
      </c>
      <c r="H109" s="24" t="inlineStr">
        <is>
          <t>DA</t>
        </is>
      </c>
    </row>
    <row r="110">
      <c r="A110" s="26" t="inlineStr">
        <is>
          <t>ORD</t>
        </is>
      </c>
      <c r="B110" s="27" t="inlineStr">
        <is>
          <t>ThanhToan</t>
        </is>
      </c>
      <c r="C110" s="27" t="inlineStr">
        <is>
          <t>ThoiGianHetHan</t>
        </is>
      </c>
      <c r="D110" s="26" t="inlineStr">
        <is>
          <t>DATETIME</t>
        </is>
      </c>
      <c r="E110" s="27" t="inlineStr">
        <is>
          <t>timestamptz</t>
        </is>
      </c>
      <c r="F110" s="27" t="inlineStr">
        <is>
          <t>Not null</t>
        </is>
      </c>
      <c r="G110" s="27" t="inlineStr">
        <is>
          <t>Thời điểm hết hạn lần thanh toán</t>
        </is>
      </c>
      <c r="H110" s="26" t="inlineStr">
        <is>
          <t>DA</t>
        </is>
      </c>
    </row>
    <row r="111">
      <c r="A111" s="24" t="inlineStr">
        <is>
          <t>ORD</t>
        </is>
      </c>
      <c r="B111" s="25" t="inlineStr">
        <is>
          <t>ThanhToan</t>
        </is>
      </c>
      <c r="C111" s="25" t="inlineStr">
        <is>
          <t>ThoiGianThanhToan</t>
        </is>
      </c>
      <c r="D111" s="24" t="inlineStr">
        <is>
          <t>DATETIME</t>
        </is>
      </c>
      <c r="E111" s="25" t="inlineStr">
        <is>
          <t>timestamptz</t>
        </is>
      </c>
      <c r="F111" s="25" t="inlineStr">
        <is>
          <t>Cho phép null</t>
        </is>
      </c>
      <c r="G111" s="25" t="inlineStr">
        <is>
          <t>Thời điểm thanh toán thành công</t>
        </is>
      </c>
      <c r="H111" s="24" t="inlineStr">
        <is>
          <t>DA</t>
        </is>
      </c>
    </row>
    <row r="112">
      <c r="A112" s="26" t="inlineStr">
        <is>
          <t>ORD</t>
        </is>
      </c>
      <c r="B112" s="27" t="inlineStr">
        <is>
          <t>ThanhToan</t>
        </is>
      </c>
      <c r="C112" s="27" t="inlineStr">
        <is>
          <t>NgayTao</t>
        </is>
      </c>
      <c r="D112" s="26" t="inlineStr">
        <is>
          <t>DATETIME</t>
        </is>
      </c>
      <c r="E112" s="27" t="inlineStr">
        <is>
          <t>timestamptz</t>
        </is>
      </c>
      <c r="F112" s="27" t="inlineStr">
        <is>
          <t>Not null</t>
        </is>
      </c>
      <c r="G112" s="27" t="inlineStr">
        <is>
          <t>Thời điểm tạo lần thanh toán</t>
        </is>
      </c>
      <c r="H112" s="26" t="inlineStr">
        <is>
          <t>DA</t>
        </is>
      </c>
    </row>
    <row r="113">
      <c r="A113" s="24" t="inlineStr">
        <is>
          <t>ORD</t>
        </is>
      </c>
      <c r="B113" s="25" t="inlineStr">
        <is>
          <t>ThanhToan</t>
        </is>
      </c>
      <c r="C113" s="25" t="inlineStr">
        <is>
          <t>NgayCapNhat</t>
        </is>
      </c>
      <c r="D113" s="24" t="inlineStr">
        <is>
          <t>DATETIME</t>
        </is>
      </c>
      <c r="E113" s="25" t="inlineStr">
        <is>
          <t>timestamptz</t>
        </is>
      </c>
      <c r="F113" s="25" t="inlineStr">
        <is>
          <t>Not null</t>
        </is>
      </c>
      <c r="G113" s="25" t="inlineStr">
        <is>
          <t>Thời điểm cập nhật lần thanh toán</t>
        </is>
      </c>
      <c r="H113" s="24" t="inlineStr">
        <is>
          <t>DA</t>
        </is>
      </c>
    </row>
    <row r="114">
      <c r="A114" s="26" t="inlineStr">
        <is>
          <t>PRM</t>
        </is>
      </c>
      <c r="B114" s="27" t="inlineStr">
        <is>
          <t>ApDungKhuyenMai</t>
        </is>
      </c>
      <c r="C114" s="27" t="inlineStr">
        <is>
          <t>Id</t>
        </is>
      </c>
      <c r="D114" s="26" t="inlineStr">
        <is>
          <t>UUID</t>
        </is>
      </c>
      <c r="E114" s="27" t="inlineStr">
        <is>
          <t>uuid</t>
        </is>
      </c>
      <c r="F114" s="27" t="inlineStr">
        <is>
          <t>Khóa chính, not null</t>
        </is>
      </c>
      <c r="G114" s="27" t="inlineStr">
        <is>
          <t>Mã định danh lần áp dụng khuyến mãi</t>
        </is>
      </c>
      <c r="H114" s="26" t="inlineStr">
        <is>
          <t>DA</t>
        </is>
      </c>
    </row>
    <row r="115">
      <c r="A115" s="24" t="inlineStr">
        <is>
          <t>PRM</t>
        </is>
      </c>
      <c r="B115" s="25" t="inlineStr">
        <is>
          <t>ApDungKhuyenMai</t>
        </is>
      </c>
      <c r="C115" s="25" t="inlineStr">
        <is>
          <t>IdDonHang</t>
        </is>
      </c>
      <c r="D115" s="24" t="inlineStr">
        <is>
          <t>UUID</t>
        </is>
      </c>
      <c r="E115" s="25" t="inlineStr">
        <is>
          <t>uuid</t>
        </is>
      </c>
      <c r="F115" s="25" t="inlineStr">
        <is>
          <t>Khóa ngoại tham chiếu DonHang.Id; unique, not null</t>
        </is>
      </c>
      <c r="G115" s="25" t="inlineStr">
        <is>
          <t>Đơn hàng được áp dụng khuyến mãi</t>
        </is>
      </c>
      <c r="H115" s="24" t="inlineStr">
        <is>
          <t>DA</t>
        </is>
      </c>
    </row>
    <row r="116">
      <c r="A116" s="26" t="inlineStr">
        <is>
          <t>PRM</t>
        </is>
      </c>
      <c r="B116" s="27" t="inlineStr">
        <is>
          <t>ApDungKhuyenMai</t>
        </is>
      </c>
      <c r="C116" s="27" t="inlineStr">
        <is>
          <t>IdKhuyenMai</t>
        </is>
      </c>
      <c r="D116" s="26" t="inlineStr">
        <is>
          <t>UUID</t>
        </is>
      </c>
      <c r="E116" s="27" t="inlineStr">
        <is>
          <t>uuid</t>
        </is>
      </c>
      <c r="F116" s="27" t="inlineStr">
        <is>
          <t>Khóa ngoại tham chiếu KhuyenMai.Id; not null</t>
        </is>
      </c>
      <c r="G116" s="27" t="inlineStr">
        <is>
          <t>Chương trình khuyến mãi được áp dụng</t>
        </is>
      </c>
      <c r="H116" s="26" t="inlineStr">
        <is>
          <t>DA</t>
        </is>
      </c>
    </row>
    <row r="117">
      <c r="A117" s="24" t="inlineStr">
        <is>
          <t>PRM</t>
        </is>
      </c>
      <c r="B117" s="25" t="inlineStr">
        <is>
          <t>ApDungKhuyenMai</t>
        </is>
      </c>
      <c r="C117" s="25" t="inlineStr">
        <is>
          <t>MaKhuyenMai</t>
        </is>
      </c>
      <c r="D117" s="24" t="inlineStr">
        <is>
          <t>STRING</t>
        </is>
      </c>
      <c r="E117" s="25" t="inlineStr">
        <is>
          <t>varchar(50)</t>
        </is>
      </c>
      <c r="F117" s="25" t="inlineStr">
        <is>
          <t>Not null</t>
        </is>
      </c>
      <c r="G117" s="25" t="inlineStr">
        <is>
          <t>Mã khuyến mãi lưu tại thời điểm áp dụng</t>
        </is>
      </c>
      <c r="H117" s="24" t="inlineStr">
        <is>
          <t>DA</t>
        </is>
      </c>
    </row>
    <row r="118">
      <c r="A118" s="26" t="inlineStr">
        <is>
          <t>PRM</t>
        </is>
      </c>
      <c r="B118" s="27" t="inlineStr">
        <is>
          <t>ApDungKhuyenMai</t>
        </is>
      </c>
      <c r="C118" s="27" t="inlineStr">
        <is>
          <t>SoTienGiam</t>
        </is>
      </c>
      <c r="D118" s="26" t="inlineStr">
        <is>
          <t>DECIMAL</t>
        </is>
      </c>
      <c r="E118" s="27" t="inlineStr">
        <is>
          <t>numeric(12,0)</t>
        </is>
      </c>
      <c r="F118" s="27" t="inlineStr">
        <is>
          <t>Không âm, not null</t>
        </is>
      </c>
      <c r="G118" s="27" t="inlineStr">
        <is>
          <t>Số tiền giảm cho đơn hàng</t>
        </is>
      </c>
      <c r="H118" s="26" t="inlineStr">
        <is>
          <t>DA</t>
        </is>
      </c>
    </row>
    <row r="119">
      <c r="A119" s="24" t="inlineStr">
        <is>
          <t>PRM</t>
        </is>
      </c>
      <c r="B119" s="25" t="inlineStr">
        <is>
          <t>ApDungKhuyenMai</t>
        </is>
      </c>
      <c r="C119" s="25" t="inlineStr">
        <is>
          <t>NgaySuDung</t>
        </is>
      </c>
      <c r="D119" s="24" t="inlineStr">
        <is>
          <t>DATETIME</t>
        </is>
      </c>
      <c r="E119" s="25" t="inlineStr">
        <is>
          <t>timestamptz</t>
        </is>
      </c>
      <c r="F119" s="25" t="inlineStr">
        <is>
          <t>Not null</t>
        </is>
      </c>
      <c r="G119" s="25" t="inlineStr">
        <is>
          <t>Thời điểm ghi nhận sử dụng khuyến mãi</t>
        </is>
      </c>
      <c r="H119" s="24" t="inlineStr">
        <is>
          <t>DA</t>
        </is>
      </c>
    </row>
    <row r="120">
      <c r="A120" s="26" t="inlineStr">
        <is>
          <t>TRT</t>
        </is>
      </c>
      <c r="B120" s="27" t="inlineStr">
        <is>
          <t>DichVuKhachHang</t>
        </is>
      </c>
      <c r="C120" s="27" t="inlineStr">
        <is>
          <t>Id</t>
        </is>
      </c>
      <c r="D120" s="26" t="inlineStr">
        <is>
          <t>UUID</t>
        </is>
      </c>
      <c r="E120" s="27" t="inlineStr">
        <is>
          <t>uuid</t>
        </is>
      </c>
      <c r="F120" s="27" t="inlineStr">
        <is>
          <t>Khóa chính, not null</t>
        </is>
      </c>
      <c r="G120" s="27" t="inlineStr">
        <is>
          <t>Mã quyền sử dụng dịch vụ</t>
        </is>
      </c>
      <c r="H120" s="26" t="inlineStr">
        <is>
          <t>DA</t>
        </is>
      </c>
    </row>
    <row r="121">
      <c r="A121" s="24" t="inlineStr">
        <is>
          <t>TRT</t>
        </is>
      </c>
      <c r="B121" s="25" t="inlineStr">
        <is>
          <t>DichVuKhachHang</t>
        </is>
      </c>
      <c r="C121" s="25" t="inlineStr">
        <is>
          <t>IdKhachHang</t>
        </is>
      </c>
      <c r="D121" s="24" t="inlineStr">
        <is>
          <t>UUID</t>
        </is>
      </c>
      <c r="E121" s="25" t="inlineStr">
        <is>
          <t>uuid</t>
        </is>
      </c>
      <c r="F121" s="25" t="inlineStr">
        <is>
          <t>Khóa ngoại tham chiếu KhachHang.MaNguoiDung; not null</t>
        </is>
      </c>
      <c r="G121" s="25" t="inlineStr">
        <is>
          <t>Khách hàng sở hữu quyền sử dụng</t>
        </is>
      </c>
      <c r="H121" s="24" t="inlineStr">
        <is>
          <t>DA</t>
        </is>
      </c>
    </row>
    <row r="122">
      <c r="A122" s="26" t="inlineStr">
        <is>
          <t>TRT</t>
        </is>
      </c>
      <c r="B122" s="27" t="inlineStr">
        <is>
          <t>DichVuKhachHang</t>
        </is>
      </c>
      <c r="C122" s="27" t="inlineStr">
        <is>
          <t>IdChiTietDonHang</t>
        </is>
      </c>
      <c r="D122" s="26" t="inlineStr">
        <is>
          <t>UUID</t>
        </is>
      </c>
      <c r="E122" s="27" t="inlineStr">
        <is>
          <t>uuid</t>
        </is>
      </c>
      <c r="F122" s="27" t="inlineStr">
        <is>
          <t>Khóa ngoại tham chiếu ChiTietDonHang.Id; unique, not null</t>
        </is>
      </c>
      <c r="G122" s="27" t="inlineStr">
        <is>
          <t>Chi tiết đơn hàng phát sinh quyền sử dụng</t>
        </is>
      </c>
      <c r="H122" s="26" t="inlineStr">
        <is>
          <t>DA</t>
        </is>
      </c>
    </row>
    <row r="123">
      <c r="A123" s="24" t="inlineStr">
        <is>
          <t>TRT</t>
        </is>
      </c>
      <c r="B123" s="25" t="inlineStr">
        <is>
          <t>DichVuKhachHang</t>
        </is>
      </c>
      <c r="C123" s="25" t="inlineStr">
        <is>
          <t>NgayHetHan</t>
        </is>
      </c>
      <c r="D123" s="24" t="inlineStr">
        <is>
          <t>DATETIME</t>
        </is>
      </c>
      <c r="E123" s="25" t="inlineStr">
        <is>
          <t>timestamptz</t>
        </is>
      </c>
      <c r="F123" s="25" t="inlineStr">
        <is>
          <t>Cho phép null</t>
        </is>
      </c>
      <c r="G123" s="25" t="inlineStr">
        <is>
          <t>Thời điểm hết hạn sử dụng</t>
        </is>
      </c>
      <c r="H123" s="24" t="inlineStr">
        <is>
          <t>DA</t>
        </is>
      </c>
    </row>
    <row r="124">
      <c r="A124" s="26" t="inlineStr">
        <is>
          <t>TRT</t>
        </is>
      </c>
      <c r="B124" s="27" t="inlineStr">
        <is>
          <t>DichVuKhachHang</t>
        </is>
      </c>
      <c r="C124" s="27" t="inlineStr">
        <is>
          <t>TrangThai</t>
        </is>
      </c>
      <c r="D124" s="26" t="inlineStr">
        <is>
          <t>ENUM</t>
        </is>
      </c>
      <c r="E124" s="27" t="inlineStr">
        <is>
          <t>varchar(30) + CHECK</t>
        </is>
      </c>
      <c r="F124" s="27" t="inlineStr">
        <is>
          <t>Not null</t>
        </is>
      </c>
      <c r="G124" s="27" t="inlineStr">
        <is>
          <t>Trạng thái quyền sử dụng dịch vụ</t>
        </is>
      </c>
      <c r="H124" s="26" t="inlineStr">
        <is>
          <t>DA</t>
        </is>
      </c>
    </row>
    <row r="125">
      <c r="A125" s="24" t="inlineStr">
        <is>
          <t>TRT</t>
        </is>
      </c>
      <c r="B125" s="25" t="inlineStr">
        <is>
          <t>GoiKhachHang</t>
        </is>
      </c>
      <c r="C125" s="25" t="inlineStr">
        <is>
          <t>Id</t>
        </is>
      </c>
      <c r="D125" s="24" t="inlineStr">
        <is>
          <t>UUID</t>
        </is>
      </c>
      <c r="E125" s="25" t="inlineStr">
        <is>
          <t>uuid</t>
        </is>
      </c>
      <c r="F125" s="25" t="inlineStr">
        <is>
          <t>Khóa chính, not null</t>
        </is>
      </c>
      <c r="G125" s="25" t="inlineStr">
        <is>
          <t>Mã gói dịch vụ khách hàng sở hữu</t>
        </is>
      </c>
      <c r="H125" s="24" t="inlineStr">
        <is>
          <t>DA</t>
        </is>
      </c>
    </row>
    <row r="126">
      <c r="A126" s="26" t="inlineStr">
        <is>
          <t>TRT</t>
        </is>
      </c>
      <c r="B126" s="27" t="inlineStr">
        <is>
          <t>GoiKhachHang</t>
        </is>
      </c>
      <c r="C126" s="27" t="inlineStr">
        <is>
          <t>IdKhachHang</t>
        </is>
      </c>
      <c r="D126" s="26" t="inlineStr">
        <is>
          <t>UUID</t>
        </is>
      </c>
      <c r="E126" s="27" t="inlineStr">
        <is>
          <t>uuid</t>
        </is>
      </c>
      <c r="F126" s="27" t="inlineStr">
        <is>
          <t>Khóa ngoại tham chiếu KhachHang.MaNguoiDung; not null</t>
        </is>
      </c>
      <c r="G126" s="27" t="inlineStr">
        <is>
          <t>Khách hàng sở hữu gói</t>
        </is>
      </c>
      <c r="H126" s="26" t="inlineStr">
        <is>
          <t>DA</t>
        </is>
      </c>
    </row>
    <row r="127">
      <c r="A127" s="24" t="inlineStr">
        <is>
          <t>TRT</t>
        </is>
      </c>
      <c r="B127" s="25" t="inlineStr">
        <is>
          <t>GoiKhachHang</t>
        </is>
      </c>
      <c r="C127" s="25" t="inlineStr">
        <is>
          <t>IdChiTietDonHang</t>
        </is>
      </c>
      <c r="D127" s="24" t="inlineStr">
        <is>
          <t>UUID</t>
        </is>
      </c>
      <c r="E127" s="25" t="inlineStr">
        <is>
          <t>uuid</t>
        </is>
      </c>
      <c r="F127" s="25" t="inlineStr">
        <is>
          <t>Khóa ngoại tham chiếu ChiTietDonHang.Id; unique, not null</t>
        </is>
      </c>
      <c r="G127" s="25" t="inlineStr">
        <is>
          <t>Chi tiết đơn hàng phát sinh gói đã mua</t>
        </is>
      </c>
      <c r="H127" s="24" t="inlineStr">
        <is>
          <t>DA</t>
        </is>
      </c>
    </row>
    <row r="128">
      <c r="A128" s="26" t="inlineStr">
        <is>
          <t>TRT</t>
        </is>
      </c>
      <c r="B128" s="27" t="inlineStr">
        <is>
          <t>GoiKhachHang</t>
        </is>
      </c>
      <c r="C128" s="27" t="inlineStr">
        <is>
          <t>TenGoi</t>
        </is>
      </c>
      <c r="D128" s="26" t="inlineStr">
        <is>
          <t>STRING</t>
        </is>
      </c>
      <c r="E128" s="27" t="inlineStr">
        <is>
          <t>varchar(255)</t>
        </is>
      </c>
      <c r="F128" s="27" t="inlineStr">
        <is>
          <t>Not null</t>
        </is>
      </c>
      <c r="G128" s="27" t="inlineStr">
        <is>
          <t>Tên gói lưu tại thời điểm mua</t>
        </is>
      </c>
      <c r="H128" s="26" t="inlineStr">
        <is>
          <t>DA</t>
        </is>
      </c>
    </row>
    <row r="129">
      <c r="A129" s="24" t="inlineStr">
        <is>
          <t>TRT</t>
        </is>
      </c>
      <c r="B129" s="25" t="inlineStr">
        <is>
          <t>GoiKhachHang</t>
        </is>
      </c>
      <c r="C129" s="25" t="inlineStr">
        <is>
          <t>NgayMua</t>
        </is>
      </c>
      <c r="D129" s="24" t="inlineStr">
        <is>
          <t>DATETIME</t>
        </is>
      </c>
      <c r="E129" s="25" t="inlineStr">
        <is>
          <t>timestamptz</t>
        </is>
      </c>
      <c r="F129" s="25" t="inlineStr">
        <is>
          <t>Not null</t>
        </is>
      </c>
      <c r="G129" s="25" t="inlineStr">
        <is>
          <t>Thời điểm mua gói</t>
        </is>
      </c>
      <c r="H129" s="24" t="inlineStr">
        <is>
          <t>DA</t>
        </is>
      </c>
    </row>
    <row r="130">
      <c r="A130" s="26" t="inlineStr">
        <is>
          <t>TRT</t>
        </is>
      </c>
      <c r="B130" s="27" t="inlineStr">
        <is>
          <t>GoiKhachHang</t>
        </is>
      </c>
      <c r="C130" s="27" t="inlineStr">
        <is>
          <t>NgayKichHoat</t>
        </is>
      </c>
      <c r="D130" s="26" t="inlineStr">
        <is>
          <t>DATETIME</t>
        </is>
      </c>
      <c r="E130" s="27" t="inlineStr">
        <is>
          <t>timestamptz</t>
        </is>
      </c>
      <c r="F130" s="27" t="inlineStr">
        <is>
          <t>Cho phép null</t>
        </is>
      </c>
      <c r="G130" s="27" t="inlineStr">
        <is>
          <t>Thời điểm kích hoạt gói</t>
        </is>
      </c>
      <c r="H130" s="26" t="inlineStr">
        <is>
          <t>DA</t>
        </is>
      </c>
    </row>
    <row r="131">
      <c r="A131" s="24" t="inlineStr">
        <is>
          <t>TRT</t>
        </is>
      </c>
      <c r="B131" s="25" t="inlineStr">
        <is>
          <t>GoiKhachHang</t>
        </is>
      </c>
      <c r="C131" s="25" t="inlineStr">
        <is>
          <t>NgayHetHan</t>
        </is>
      </c>
      <c r="D131" s="24" t="inlineStr">
        <is>
          <t>DATETIME</t>
        </is>
      </c>
      <c r="E131" s="25" t="inlineStr">
        <is>
          <t>timestamptz</t>
        </is>
      </c>
      <c r="F131" s="25" t="inlineStr">
        <is>
          <t>Cho phép null</t>
        </is>
      </c>
      <c r="G131" s="25" t="inlineStr">
        <is>
          <t>Thời điểm hết hạn sử dụng gói</t>
        </is>
      </c>
      <c r="H131" s="24" t="inlineStr">
        <is>
          <t>DA</t>
        </is>
      </c>
    </row>
    <row r="132">
      <c r="A132" s="26" t="inlineStr">
        <is>
          <t>TRT</t>
        </is>
      </c>
      <c r="B132" s="27" t="inlineStr">
        <is>
          <t>GoiKhachHang</t>
        </is>
      </c>
      <c r="C132" s="27" t="inlineStr">
        <is>
          <t>TongSoBuoi</t>
        </is>
      </c>
      <c r="D132" s="26" t="inlineStr">
        <is>
          <t>INTEGER</t>
        </is>
      </c>
      <c r="E132" s="27" t="inlineStr">
        <is>
          <t>integer</t>
        </is>
      </c>
      <c r="F132" s="27" t="inlineStr">
        <is>
          <t>Lớn hơn 0, not null</t>
        </is>
      </c>
      <c r="G132" s="27" t="inlineStr">
        <is>
          <t>Tổng số buổi của gói đã mua</t>
        </is>
      </c>
      <c r="H132" s="26" t="inlineStr">
        <is>
          <t>DA</t>
        </is>
      </c>
    </row>
    <row r="133">
      <c r="A133" s="24" t="inlineStr">
        <is>
          <t>TRT</t>
        </is>
      </c>
      <c r="B133" s="25" t="inlineStr">
        <is>
          <t>GoiKhachHang</t>
        </is>
      </c>
      <c r="C133" s="25" t="inlineStr">
        <is>
          <t>SoBuoiDaDung</t>
        </is>
      </c>
      <c r="D133" s="24" t="inlineStr">
        <is>
          <t>INTEGER</t>
        </is>
      </c>
      <c r="E133" s="25" t="inlineStr">
        <is>
          <t>integer</t>
        </is>
      </c>
      <c r="F133" s="25" t="inlineStr">
        <is>
          <t>Từ 0 đến TongSoBuoi, not null</t>
        </is>
      </c>
      <c r="G133" s="25" t="inlineStr">
        <is>
          <t>Số buổi đã hoàn thành</t>
        </is>
      </c>
      <c r="H133" s="24" t="inlineStr">
        <is>
          <t>DA</t>
        </is>
      </c>
    </row>
    <row r="134">
      <c r="A134" s="26" t="inlineStr">
        <is>
          <t>TRT</t>
        </is>
      </c>
      <c r="B134" s="27" t="inlineStr">
        <is>
          <t>GoiKhachHang</t>
        </is>
      </c>
      <c r="C134" s="27" t="inlineStr">
        <is>
          <t>TrangThai</t>
        </is>
      </c>
      <c r="D134" s="26" t="inlineStr">
        <is>
          <t>ENUM</t>
        </is>
      </c>
      <c r="E134" s="27" t="inlineStr">
        <is>
          <t>varchar(30) + CHECK</t>
        </is>
      </c>
      <c r="F134" s="27" t="inlineStr">
        <is>
          <t>Not null</t>
        </is>
      </c>
      <c r="G134" s="27" t="inlineStr">
        <is>
          <t>Trạng thái gói đã mua</t>
        </is>
      </c>
      <c r="H134" s="26" t="inlineStr">
        <is>
          <t>DA</t>
        </is>
      </c>
    </row>
    <row r="135">
      <c r="A135" s="24" t="inlineStr">
        <is>
          <t>TRT</t>
        </is>
      </c>
      <c r="B135" s="25" t="inlineStr">
        <is>
          <t>LieuTrinh</t>
        </is>
      </c>
      <c r="C135" s="25" t="inlineStr">
        <is>
          <t>Id</t>
        </is>
      </c>
      <c r="D135" s="24" t="inlineStr">
        <is>
          <t>UUID</t>
        </is>
      </c>
      <c r="E135" s="25" t="inlineStr">
        <is>
          <t>uuid</t>
        </is>
      </c>
      <c r="F135" s="25" t="inlineStr">
        <is>
          <t>Khóa chính, not null</t>
        </is>
      </c>
      <c r="G135" s="25" t="inlineStr">
        <is>
          <t>Mã định danh liệu trình</t>
        </is>
      </c>
      <c r="H135" s="24" t="inlineStr">
        <is>
          <t>DA</t>
        </is>
      </c>
    </row>
    <row r="136">
      <c r="A136" s="26" t="inlineStr">
        <is>
          <t>TRT</t>
        </is>
      </c>
      <c r="B136" s="27" t="inlineStr">
        <is>
          <t>LieuTrinh</t>
        </is>
      </c>
      <c r="C136" s="27" t="inlineStr">
        <is>
          <t>IdGoiKhachHang</t>
        </is>
      </c>
      <c r="D136" s="26" t="inlineStr">
        <is>
          <t>UUID</t>
        </is>
      </c>
      <c r="E136" s="27" t="inlineStr">
        <is>
          <t>uuid</t>
        </is>
      </c>
      <c r="F136" s="27" t="inlineStr">
        <is>
          <t>Khóa ngoại tham chiếu GoiKhachHang.Id; unique, not null</t>
        </is>
      </c>
      <c r="G136" s="27" t="inlineStr">
        <is>
          <t>Gói đã mua tương ứng với liệu trình</t>
        </is>
      </c>
      <c r="H136" s="26" t="inlineStr">
        <is>
          <t>DA</t>
        </is>
      </c>
    </row>
    <row r="137">
      <c r="A137" s="24" t="inlineStr">
        <is>
          <t>TRT</t>
        </is>
      </c>
      <c r="B137" s="25" t="inlineStr">
        <is>
          <t>LieuTrinh</t>
        </is>
      </c>
      <c r="C137" s="25" t="inlineStr">
        <is>
          <t>IdNhanVienPhuTrach</t>
        </is>
      </c>
      <c r="D137" s="24" t="inlineStr">
        <is>
          <t>UUID</t>
        </is>
      </c>
      <c r="E137" s="25" t="inlineStr">
        <is>
          <t>uuid</t>
        </is>
      </c>
      <c r="F137" s="25" t="inlineStr">
        <is>
          <t>Khóa ngoại tham chiếu NhanVien.MaNguoiDung; cho phép null</t>
        </is>
      </c>
      <c r="G137" s="25" t="inlineStr">
        <is>
          <t>Nhân viên phụ trách liệu trình</t>
        </is>
      </c>
      <c r="H137" s="24" t="inlineStr">
        <is>
          <t>DA</t>
        </is>
      </c>
    </row>
    <row r="138">
      <c r="A138" s="26" t="inlineStr">
        <is>
          <t>TRT</t>
        </is>
      </c>
      <c r="B138" s="27" t="inlineStr">
        <is>
          <t>LieuTrinh</t>
        </is>
      </c>
      <c r="C138" s="27" t="inlineStr">
        <is>
          <t>NgayBatDau</t>
        </is>
      </c>
      <c r="D138" s="26" t="inlineStr">
        <is>
          <t>DATE</t>
        </is>
      </c>
      <c r="E138" s="27" t="inlineStr">
        <is>
          <t>date</t>
        </is>
      </c>
      <c r="F138" s="27" t="inlineStr">
        <is>
          <t>Cho phép null</t>
        </is>
      </c>
      <c r="G138" s="27" t="inlineStr">
        <is>
          <t>Ngày bắt đầu liệu trình</t>
        </is>
      </c>
      <c r="H138" s="26" t="inlineStr">
        <is>
          <t>DA</t>
        </is>
      </c>
    </row>
    <row r="139">
      <c r="A139" s="24" t="inlineStr">
        <is>
          <t>TRT</t>
        </is>
      </c>
      <c r="B139" s="25" t="inlineStr">
        <is>
          <t>LieuTrinh</t>
        </is>
      </c>
      <c r="C139" s="25" t="inlineStr">
        <is>
          <t>NgayKetThucDuKien</t>
        </is>
      </c>
      <c r="D139" s="24" t="inlineStr">
        <is>
          <t>DATE</t>
        </is>
      </c>
      <c r="E139" s="25" t="inlineStr">
        <is>
          <t>date</t>
        </is>
      </c>
      <c r="F139" s="25" t="inlineStr">
        <is>
          <t>Cho phép null</t>
        </is>
      </c>
      <c r="G139" s="25" t="inlineStr">
        <is>
          <t>Ngày dự kiến kết thúc liệu trình</t>
        </is>
      </c>
      <c r="H139" s="24" t="inlineStr">
        <is>
          <t>DA</t>
        </is>
      </c>
    </row>
    <row r="140">
      <c r="A140" s="26" t="inlineStr">
        <is>
          <t>TRT</t>
        </is>
      </c>
      <c r="B140" s="27" t="inlineStr">
        <is>
          <t>LieuTrinh</t>
        </is>
      </c>
      <c r="C140" s="27" t="inlineStr">
        <is>
          <t>NgayKetThucThucTe</t>
        </is>
      </c>
      <c r="D140" s="26" t="inlineStr">
        <is>
          <t>DATE</t>
        </is>
      </c>
      <c r="E140" s="27" t="inlineStr">
        <is>
          <t>date</t>
        </is>
      </c>
      <c r="F140" s="27" t="inlineStr">
        <is>
          <t>Cho phép null</t>
        </is>
      </c>
      <c r="G140" s="27" t="inlineStr">
        <is>
          <t>Ngày thực tế kết thúc liệu trình</t>
        </is>
      </c>
      <c r="H140" s="26" t="inlineStr">
        <is>
          <t>DA</t>
        </is>
      </c>
    </row>
    <row r="141">
      <c r="A141" s="24" t="inlineStr">
        <is>
          <t>TRT</t>
        </is>
      </c>
      <c r="B141" s="25" t="inlineStr">
        <is>
          <t>LieuTrinh</t>
        </is>
      </c>
      <c r="C141" s="25" t="inlineStr">
        <is>
          <t>MucTieu</t>
        </is>
      </c>
      <c r="D141" s="24" t="inlineStr">
        <is>
          <t>TEXT</t>
        </is>
      </c>
      <c r="E141" s="25" t="inlineStr">
        <is>
          <t>text</t>
        </is>
      </c>
      <c r="F141" s="25" t="inlineStr">
        <is>
          <t>Cho phép null</t>
        </is>
      </c>
      <c r="G141" s="25" t="inlineStr">
        <is>
          <t>Mục tiêu chăm sóc của liệu trình</t>
        </is>
      </c>
      <c r="H141" s="24" t="inlineStr">
        <is>
          <t>DA</t>
        </is>
      </c>
    </row>
    <row r="142">
      <c r="A142" s="26" t="inlineStr">
        <is>
          <t>TRT</t>
        </is>
      </c>
      <c r="B142" s="27" t="inlineStr">
        <is>
          <t>LieuTrinh</t>
        </is>
      </c>
      <c r="C142" s="27" t="inlineStr">
        <is>
          <t>TrangThai</t>
        </is>
      </c>
      <c r="D142" s="26" t="inlineStr">
        <is>
          <t>ENUM</t>
        </is>
      </c>
      <c r="E142" s="27" t="inlineStr">
        <is>
          <t>varchar(30) + CHECK</t>
        </is>
      </c>
      <c r="F142" s="27" t="inlineStr">
        <is>
          <t>Not null</t>
        </is>
      </c>
      <c r="G142" s="27" t="inlineStr">
        <is>
          <t>Trạng thái thực hiện liệu trình</t>
        </is>
      </c>
      <c r="H142" s="26" t="inlineStr">
        <is>
          <t>DA</t>
        </is>
      </c>
    </row>
    <row r="143">
      <c r="A143" s="24" t="inlineStr">
        <is>
          <t>TRT</t>
        </is>
      </c>
      <c r="B143" s="25" t="inlineStr">
        <is>
          <t>LieuTrinh</t>
        </is>
      </c>
      <c r="C143" s="25" t="inlineStr">
        <is>
          <t>GhiChu</t>
        </is>
      </c>
      <c r="D143" s="24" t="inlineStr">
        <is>
          <t>TEXT</t>
        </is>
      </c>
      <c r="E143" s="25" t="inlineStr">
        <is>
          <t>text</t>
        </is>
      </c>
      <c r="F143" s="25" t="inlineStr">
        <is>
          <t>Cho phép null</t>
        </is>
      </c>
      <c r="G143" s="25" t="inlineStr">
        <is>
          <t>Ghi chú về liệu trình</t>
        </is>
      </c>
      <c r="H143" s="24" t="inlineStr">
        <is>
          <t>DA</t>
        </is>
      </c>
    </row>
    <row r="144">
      <c r="A144" s="26" t="inlineStr">
        <is>
          <t>TRT</t>
        </is>
      </c>
      <c r="B144" s="27" t="inlineStr">
        <is>
          <t>BuoiChamSoc</t>
        </is>
      </c>
      <c r="C144" s="27" t="inlineStr">
        <is>
          <t>Id</t>
        </is>
      </c>
      <c r="D144" s="26" t="inlineStr">
        <is>
          <t>UUID</t>
        </is>
      </c>
      <c r="E144" s="27" t="inlineStr">
        <is>
          <t>uuid</t>
        </is>
      </c>
      <c r="F144" s="27" t="inlineStr">
        <is>
          <t>Khóa chính, not null</t>
        </is>
      </c>
      <c r="G144" s="27" t="inlineStr">
        <is>
          <t>Mã định danh buổi chăm sóc</t>
        </is>
      </c>
      <c r="H144" s="26" t="inlineStr">
        <is>
          <t>DA</t>
        </is>
      </c>
    </row>
    <row r="145">
      <c r="A145" s="24" t="inlineStr">
        <is>
          <t>TRT</t>
        </is>
      </c>
      <c r="B145" s="25" t="inlineStr">
        <is>
          <t>BuoiChamSoc</t>
        </is>
      </c>
      <c r="C145" s="25" t="inlineStr">
        <is>
          <t>IdLieuTrinh</t>
        </is>
      </c>
      <c r="D145" s="24" t="inlineStr">
        <is>
          <t>UUID</t>
        </is>
      </c>
      <c r="E145" s="25" t="inlineStr">
        <is>
          <t>uuid</t>
        </is>
      </c>
      <c r="F145" s="25" t="inlineStr">
        <is>
          <t>Khóa ngoại tham chiếu LieuTrinh.Id; not null</t>
        </is>
      </c>
      <c r="G145" s="25" t="inlineStr">
        <is>
          <t>Liệu trình chứa buổi chăm sóc</t>
        </is>
      </c>
      <c r="H145" s="24" t="inlineStr">
        <is>
          <t>DA</t>
        </is>
      </c>
    </row>
    <row r="146">
      <c r="A146" s="26" t="inlineStr">
        <is>
          <t>TRT</t>
        </is>
      </c>
      <c r="B146" s="27" t="inlineStr">
        <is>
          <t>BuoiChamSoc</t>
        </is>
      </c>
      <c r="C146" s="27" t="inlineStr">
        <is>
          <t>IdDichVu</t>
        </is>
      </c>
      <c r="D146" s="26" t="inlineStr">
        <is>
          <t>UUID</t>
        </is>
      </c>
      <c r="E146" s="27" t="inlineStr">
        <is>
          <t>uuid</t>
        </is>
      </c>
      <c r="F146" s="27" t="inlineStr">
        <is>
          <t>Khóa ngoại tham chiếu DichVu.Id; not null</t>
        </is>
      </c>
      <c r="G146" s="27" t="inlineStr">
        <is>
          <t>Dịch vụ được thực hiện trong buổi</t>
        </is>
      </c>
      <c r="H146" s="26" t="inlineStr">
        <is>
          <t>DA</t>
        </is>
      </c>
    </row>
    <row r="147">
      <c r="A147" s="24" t="inlineStr">
        <is>
          <t>TRT</t>
        </is>
      </c>
      <c r="B147" s="25" t="inlineStr">
        <is>
          <t>BuoiChamSoc</t>
        </is>
      </c>
      <c r="C147" s="25" t="inlineStr">
        <is>
          <t>ThuTu</t>
        </is>
      </c>
      <c r="D147" s="24" t="inlineStr">
        <is>
          <t>INTEGER</t>
        </is>
      </c>
      <c r="E147" s="25" t="inlineStr">
        <is>
          <t>integer</t>
        </is>
      </c>
      <c r="F147" s="25" t="inlineStr">
        <is>
          <t>Lớn hơn 0; unique kết hợp IdLieuTrinh</t>
        </is>
      </c>
      <c r="G147" s="25" t="inlineStr">
        <is>
          <t>Thứ tự buổi trong liệu trình</t>
        </is>
      </c>
      <c r="H147" s="24" t="inlineStr">
        <is>
          <t>DA</t>
        </is>
      </c>
    </row>
    <row r="148">
      <c r="A148" s="26" t="inlineStr">
        <is>
          <t>TRT</t>
        </is>
      </c>
      <c r="B148" s="27" t="inlineStr">
        <is>
          <t>BuoiChamSoc</t>
        </is>
      </c>
      <c r="C148" s="27" t="inlineStr">
        <is>
          <t>TenDichVu</t>
        </is>
      </c>
      <c r="D148" s="26" t="inlineStr">
        <is>
          <t>STRING</t>
        </is>
      </c>
      <c r="E148" s="27" t="inlineStr">
        <is>
          <t>varchar(255)</t>
        </is>
      </c>
      <c r="F148" s="27" t="inlineStr">
        <is>
          <t>Not null</t>
        </is>
      </c>
      <c r="G148" s="27" t="inlineStr">
        <is>
          <t>Tên dịch vụ lưu khi tạo buổi chăm sóc</t>
        </is>
      </c>
      <c r="H148" s="26" t="inlineStr">
        <is>
          <t>DA</t>
        </is>
      </c>
    </row>
    <row r="149">
      <c r="A149" s="24" t="inlineStr">
        <is>
          <t>TRT</t>
        </is>
      </c>
      <c r="B149" s="25" t="inlineStr">
        <is>
          <t>BuoiChamSoc</t>
        </is>
      </c>
      <c r="C149" s="25" t="inlineStr">
        <is>
          <t>ThoiLuongPhut</t>
        </is>
      </c>
      <c r="D149" s="24" t="inlineStr">
        <is>
          <t>INTEGER</t>
        </is>
      </c>
      <c r="E149" s="25" t="inlineStr">
        <is>
          <t>integer</t>
        </is>
      </c>
      <c r="F149" s="25" t="inlineStr">
        <is>
          <t>Lớn hơn 0, not null</t>
        </is>
      </c>
      <c r="G149" s="25" t="inlineStr">
        <is>
          <t>Thời lượng dự kiến tính bằng phút</t>
        </is>
      </c>
      <c r="H149" s="24" t="inlineStr">
        <is>
          <t>DA</t>
        </is>
      </c>
    </row>
    <row r="150">
      <c r="A150" s="26" t="inlineStr">
        <is>
          <t>TRT</t>
        </is>
      </c>
      <c r="B150" s="27" t="inlineStr">
        <is>
          <t>BuoiChamSoc</t>
        </is>
      </c>
      <c r="C150" s="27" t="inlineStr">
        <is>
          <t>TrangThai</t>
        </is>
      </c>
      <c r="D150" s="26" t="inlineStr">
        <is>
          <t>ENUM</t>
        </is>
      </c>
      <c r="E150" s="27" t="inlineStr">
        <is>
          <t>varchar(30) + CHECK</t>
        </is>
      </c>
      <c r="F150" s="27" t="inlineStr">
        <is>
          <t>Not null</t>
        </is>
      </c>
      <c r="G150" s="27" t="inlineStr">
        <is>
          <t>Trạng thái buổi chăm sóc</t>
        </is>
      </c>
      <c r="H150" s="26" t="inlineStr">
        <is>
          <t>DA</t>
        </is>
      </c>
    </row>
    <row r="151">
      <c r="A151" s="24" t="inlineStr">
        <is>
          <t>TRT</t>
        </is>
      </c>
      <c r="B151" s="25" t="inlineStr">
        <is>
          <t>BuoiChamSoc</t>
        </is>
      </c>
      <c r="C151" s="25" t="inlineStr">
        <is>
          <t>GhiChu</t>
        </is>
      </c>
      <c r="D151" s="24" t="inlineStr">
        <is>
          <t>TEXT</t>
        </is>
      </c>
      <c r="E151" s="25" t="inlineStr">
        <is>
          <t>text</t>
        </is>
      </c>
      <c r="F151" s="25" t="inlineStr">
        <is>
          <t>Cho phép null</t>
        </is>
      </c>
      <c r="G151" s="25" t="inlineStr">
        <is>
          <t>Ghi chú và kết quả chăm sóc</t>
        </is>
      </c>
      <c r="H151" s="24" t="inlineStr">
        <is>
          <t>DA</t>
        </is>
      </c>
    </row>
    <row r="152">
      <c r="A152" s="26" t="inlineStr">
        <is>
          <t>TRT</t>
        </is>
      </c>
      <c r="B152" s="27" t="inlineStr">
        <is>
          <t>BuoiChamSoc</t>
        </is>
      </c>
      <c r="C152" s="27" t="inlineStr">
        <is>
          <t>NgayHoanThanh</t>
        </is>
      </c>
      <c r="D152" s="26" t="inlineStr">
        <is>
          <t>DATETIME</t>
        </is>
      </c>
      <c r="E152" s="27" t="inlineStr">
        <is>
          <t>timestamptz</t>
        </is>
      </c>
      <c r="F152" s="27" t="inlineStr">
        <is>
          <t>Cho phép null</t>
        </is>
      </c>
      <c r="G152" s="27" t="inlineStr">
        <is>
          <t>Thời điểm hoàn thành buổi chăm sóc</t>
        </is>
      </c>
      <c r="H152" s="26" t="inlineStr">
        <is>
          <t>DA</t>
        </is>
      </c>
    </row>
    <row r="153">
      <c r="A153" s="24" t="inlineStr">
        <is>
          <t>BKG</t>
        </is>
      </c>
      <c r="B153" s="25" t="inlineStr">
        <is>
          <t>LichHen</t>
        </is>
      </c>
      <c r="C153" s="25" t="inlineStr">
        <is>
          <t>Id</t>
        </is>
      </c>
      <c r="D153" s="24" t="inlineStr">
        <is>
          <t>UUID</t>
        </is>
      </c>
      <c r="E153" s="25" t="inlineStr">
        <is>
          <t>uuid</t>
        </is>
      </c>
      <c r="F153" s="25" t="inlineStr">
        <is>
          <t>Khóa chính, not null</t>
        </is>
      </c>
      <c r="G153" s="25" t="inlineStr">
        <is>
          <t>Mã định danh lịch hẹn</t>
        </is>
      </c>
      <c r="H153" s="24" t="inlineStr">
        <is>
          <t>DA</t>
        </is>
      </c>
    </row>
    <row r="154">
      <c r="A154" s="26" t="inlineStr">
        <is>
          <t>BKG</t>
        </is>
      </c>
      <c r="B154" s="27" t="inlineStr">
        <is>
          <t>LichHen</t>
        </is>
      </c>
      <c r="C154" s="27" t="inlineStr">
        <is>
          <t>IdKhachHang</t>
        </is>
      </c>
      <c r="D154" s="26" t="inlineStr">
        <is>
          <t>UUID</t>
        </is>
      </c>
      <c r="E154" s="27" t="inlineStr">
        <is>
          <t>uuid</t>
        </is>
      </c>
      <c r="F154" s="27" t="inlineStr">
        <is>
          <t>Khóa ngoại tham chiếu KhachHang.MaNguoiDung; not null</t>
        </is>
      </c>
      <c r="G154" s="27" t="inlineStr">
        <is>
          <t>Khách hàng đặt lịch</t>
        </is>
      </c>
      <c r="H154" s="26" t="inlineStr">
        <is>
          <t>DA</t>
        </is>
      </c>
    </row>
    <row r="155">
      <c r="A155" s="24" t="inlineStr">
        <is>
          <t>BKG</t>
        </is>
      </c>
      <c r="B155" s="25" t="inlineStr">
        <is>
          <t>LichHen</t>
        </is>
      </c>
      <c r="C155" s="25" t="inlineStr">
        <is>
          <t>IdNhanVien</t>
        </is>
      </c>
      <c r="D155" s="24" t="inlineStr">
        <is>
          <t>UUID</t>
        </is>
      </c>
      <c r="E155" s="25" t="inlineStr">
        <is>
          <t>uuid</t>
        </is>
      </c>
      <c r="F155" s="25" t="inlineStr">
        <is>
          <t>Khóa ngoại tham chiếu NhanVien.MaNguoiDung; not null</t>
        </is>
      </c>
      <c r="G155" s="25" t="inlineStr">
        <is>
          <t>Nhân viên thực hiện lịch hẹn</t>
        </is>
      </c>
      <c r="H155" s="24" t="inlineStr">
        <is>
          <t>DA</t>
        </is>
      </c>
    </row>
    <row r="156">
      <c r="A156" s="26" t="inlineStr">
        <is>
          <t>BKG</t>
        </is>
      </c>
      <c r="B156" s="27" t="inlineStr">
        <is>
          <t>LichHen</t>
        </is>
      </c>
      <c r="C156" s="27" t="inlineStr">
        <is>
          <t>IdDichVuKhachHang</t>
        </is>
      </c>
      <c r="D156" s="26" t="inlineStr">
        <is>
          <t>UUID</t>
        </is>
      </c>
      <c r="E156" s="27" t="inlineStr">
        <is>
          <t>uuid</t>
        </is>
      </c>
      <c r="F156" s="27" t="inlineStr">
        <is>
          <t>Khóa ngoại tham chiếu DichVuKhachHang.Id; cho phép null</t>
        </is>
      </c>
      <c r="G156" s="27" t="inlineStr">
        <is>
          <t>Quyền sử dụng dịch vụ lẻ dùng để đặt lịch</t>
        </is>
      </c>
      <c r="H156" s="26" t="inlineStr">
        <is>
          <t>DA</t>
        </is>
      </c>
    </row>
    <row r="157">
      <c r="A157" s="24" t="inlineStr">
        <is>
          <t>BKG</t>
        </is>
      </c>
      <c r="B157" s="25" t="inlineStr">
        <is>
          <t>LichHen</t>
        </is>
      </c>
      <c r="C157" s="25" t="inlineStr">
        <is>
          <t>IdBuoiChamSoc</t>
        </is>
      </c>
      <c r="D157" s="24" t="inlineStr">
        <is>
          <t>UUID</t>
        </is>
      </c>
      <c r="E157" s="25" t="inlineStr">
        <is>
          <t>uuid</t>
        </is>
      </c>
      <c r="F157" s="25" t="inlineStr">
        <is>
          <t>Khóa ngoại tham chiếu BuoiChamSoc.Id; cho phép null</t>
        </is>
      </c>
      <c r="G157" s="25" t="inlineStr">
        <is>
          <t>Buổi chăm sóc thuộc gói dùng để đặt lịch</t>
        </is>
      </c>
      <c r="H157" s="24" t="inlineStr">
        <is>
          <t>DA</t>
        </is>
      </c>
    </row>
    <row r="158">
      <c r="A158" s="26" t="inlineStr">
        <is>
          <t>BKG</t>
        </is>
      </c>
      <c r="B158" s="27" t="inlineStr">
        <is>
          <t>LichHen</t>
        </is>
      </c>
      <c r="C158" s="27" t="inlineStr">
        <is>
          <t>IdChiTietDonHang</t>
        </is>
      </c>
      <c r="D158" s="26" t="inlineStr">
        <is>
          <t>UUID</t>
        </is>
      </c>
      <c r="E158" s="27" t="inlineStr">
        <is>
          <t>uuid</t>
        </is>
      </c>
      <c r="F158" s="27" t="inlineStr">
        <is>
          <t>Khóa ngoại tham chiếu ChiTietDonHang.Id; cho phép null</t>
        </is>
      </c>
      <c r="G158" s="27" t="inlineStr">
        <is>
          <t>Chi tiết đơn liên kết với lịch giữ chỗ chờ thanh toán</t>
        </is>
      </c>
      <c r="H158" s="26" t="inlineStr">
        <is>
          <t>DA</t>
        </is>
      </c>
    </row>
    <row r="159">
      <c r="A159" s="24" t="inlineStr">
        <is>
          <t>BKG</t>
        </is>
      </c>
      <c r="B159" s="25" t="inlineStr">
        <is>
          <t>LichHen</t>
        </is>
      </c>
      <c r="C159" s="25" t="inlineStr">
        <is>
          <t>GiuChoDen</t>
        </is>
      </c>
      <c r="D159" s="24" t="inlineStr">
        <is>
          <t>DATETIME</t>
        </is>
      </c>
      <c r="E159" s="25" t="inlineStr">
        <is>
          <t>timestamptz</t>
        </is>
      </c>
      <c r="F159" s="25" t="inlineStr">
        <is>
          <t>Cho phép null</t>
        </is>
      </c>
      <c r="G159" s="25" t="inlineStr">
        <is>
          <t>Thời điểm hết hạn giữ chỗ</t>
        </is>
      </c>
      <c r="H159" s="24" t="inlineStr">
        <is>
          <t>DA</t>
        </is>
      </c>
    </row>
    <row r="160">
      <c r="A160" s="26" t="inlineStr">
        <is>
          <t>BKG</t>
        </is>
      </c>
      <c r="B160" s="27" t="inlineStr">
        <is>
          <t>LichHen</t>
        </is>
      </c>
      <c r="C160" s="27" t="inlineStr">
        <is>
          <t>NgayHen</t>
        </is>
      </c>
      <c r="D160" s="26" t="inlineStr">
        <is>
          <t>DATE</t>
        </is>
      </c>
      <c r="E160" s="27" t="inlineStr">
        <is>
          <t>date</t>
        </is>
      </c>
      <c r="F160" s="27" t="inlineStr">
        <is>
          <t>Not null</t>
        </is>
      </c>
      <c r="G160" s="27" t="inlineStr">
        <is>
          <t>Ngày thực hiện lịch hẹn</t>
        </is>
      </c>
      <c r="H160" s="26" t="inlineStr">
        <is>
          <t>DA</t>
        </is>
      </c>
    </row>
    <row r="161">
      <c r="A161" s="24" t="inlineStr">
        <is>
          <t>BKG</t>
        </is>
      </c>
      <c r="B161" s="25" t="inlineStr">
        <is>
          <t>LichHen</t>
        </is>
      </c>
      <c r="C161" s="25" t="inlineStr">
        <is>
          <t>GioBatDau</t>
        </is>
      </c>
      <c r="D161" s="24" t="inlineStr">
        <is>
          <t>TIME</t>
        </is>
      </c>
      <c r="E161" s="25" t="inlineStr">
        <is>
          <t>time</t>
        </is>
      </c>
      <c r="F161" s="25" t="inlineStr">
        <is>
          <t>Not null</t>
        </is>
      </c>
      <c r="G161" s="25" t="inlineStr">
        <is>
          <t>Giờ bắt đầu lịch hẹn</t>
        </is>
      </c>
      <c r="H161" s="24" t="inlineStr">
        <is>
          <t>DA</t>
        </is>
      </c>
    </row>
    <row r="162">
      <c r="A162" s="26" t="inlineStr">
        <is>
          <t>BKG</t>
        </is>
      </c>
      <c r="B162" s="27" t="inlineStr">
        <is>
          <t>LichHen</t>
        </is>
      </c>
      <c r="C162" s="27" t="inlineStr">
        <is>
          <t>GioKetThuc</t>
        </is>
      </c>
      <c r="D162" s="26" t="inlineStr">
        <is>
          <t>TIME</t>
        </is>
      </c>
      <c r="E162" s="27" t="inlineStr">
        <is>
          <t>time</t>
        </is>
      </c>
      <c r="F162" s="27" t="inlineStr">
        <is>
          <t>Lớn hơn GioBatDau, not null</t>
        </is>
      </c>
      <c r="G162" s="27" t="inlineStr">
        <is>
          <t>Giờ kết thúc lịch hẹn</t>
        </is>
      </c>
      <c r="H162" s="26" t="inlineStr">
        <is>
          <t>DA</t>
        </is>
      </c>
    </row>
    <row r="163">
      <c r="A163" s="24" t="inlineStr">
        <is>
          <t>BKG</t>
        </is>
      </c>
      <c r="B163" s="25" t="inlineStr">
        <is>
          <t>LichHen</t>
        </is>
      </c>
      <c r="C163" s="25" t="inlineStr">
        <is>
          <t>TrangThai</t>
        </is>
      </c>
      <c r="D163" s="24" t="inlineStr">
        <is>
          <t>ENUM</t>
        </is>
      </c>
      <c r="E163" s="25" t="inlineStr">
        <is>
          <t>varchar(30) + CHECK</t>
        </is>
      </c>
      <c r="F163" s="25" t="inlineStr">
        <is>
          <t>Not null</t>
        </is>
      </c>
      <c r="G163" s="25" t="inlineStr">
        <is>
          <t>Trạng thái lịch hẹn</t>
        </is>
      </c>
      <c r="H163" s="24" t="inlineStr">
        <is>
          <t>DA</t>
        </is>
      </c>
    </row>
    <row r="164">
      <c r="A164" s="26" t="inlineStr">
        <is>
          <t>BKG</t>
        </is>
      </c>
      <c r="B164" s="27" t="inlineStr">
        <is>
          <t>LichHen</t>
        </is>
      </c>
      <c r="C164" s="27" t="inlineStr">
        <is>
          <t>HuyLuc</t>
        </is>
      </c>
      <c r="D164" s="26" t="inlineStr">
        <is>
          <t>DATETIME</t>
        </is>
      </c>
      <c r="E164" s="27" t="inlineStr">
        <is>
          <t>timestamptz</t>
        </is>
      </c>
      <c r="F164" s="27" t="inlineStr">
        <is>
          <t>Cho phép null</t>
        </is>
      </c>
      <c r="G164" s="27" t="inlineStr">
        <is>
          <t>Thời điểm hủy lịch</t>
        </is>
      </c>
      <c r="H164" s="26" t="inlineStr">
        <is>
          <t>DA</t>
        </is>
      </c>
    </row>
    <row r="165">
      <c r="A165" s="24" t="inlineStr">
        <is>
          <t>BKG</t>
        </is>
      </c>
      <c r="B165" s="25" t="inlineStr">
        <is>
          <t>LichHen</t>
        </is>
      </c>
      <c r="C165" s="25" t="inlineStr">
        <is>
          <t>LyDoHuy</t>
        </is>
      </c>
      <c r="D165" s="24" t="inlineStr">
        <is>
          <t>TEXT</t>
        </is>
      </c>
      <c r="E165" s="25" t="inlineStr">
        <is>
          <t>text</t>
        </is>
      </c>
      <c r="F165" s="25" t="inlineStr">
        <is>
          <t>Cho phép null</t>
        </is>
      </c>
      <c r="G165" s="25" t="inlineStr">
        <is>
          <t>Lý do hủy lịch</t>
        </is>
      </c>
      <c r="H165" s="24" t="inlineStr">
        <is>
          <t>DA</t>
        </is>
      </c>
    </row>
    <row r="166">
      <c r="A166" s="26" t="inlineStr">
        <is>
          <t>BKG</t>
        </is>
      </c>
      <c r="B166" s="27" t="inlineStr">
        <is>
          <t>LichHen</t>
        </is>
      </c>
      <c r="C166" s="27" t="inlineStr">
        <is>
          <t>GhiChu</t>
        </is>
      </c>
      <c r="D166" s="26" t="inlineStr">
        <is>
          <t>TEXT</t>
        </is>
      </c>
      <c r="E166" s="27" t="inlineStr">
        <is>
          <t>text</t>
        </is>
      </c>
      <c r="F166" s="27" t="inlineStr">
        <is>
          <t>Cho phép null</t>
        </is>
      </c>
      <c r="G166" s="27" t="inlineStr">
        <is>
          <t>Ghi chú về lịch hẹn</t>
        </is>
      </c>
      <c r="H166" s="26" t="inlineStr">
        <is>
          <t>DA</t>
        </is>
      </c>
    </row>
    <row r="167">
      <c r="A167" s="24" t="inlineStr">
        <is>
          <t>BKG</t>
        </is>
      </c>
      <c r="B167" s="25" t="inlineStr">
        <is>
          <t>LichHen</t>
        </is>
      </c>
      <c r="C167" s="25" t="inlineStr">
        <is>
          <t>NgayTao</t>
        </is>
      </c>
      <c r="D167" s="24" t="inlineStr">
        <is>
          <t>DATETIME</t>
        </is>
      </c>
      <c r="E167" s="25" t="inlineStr">
        <is>
          <t>timestamptz</t>
        </is>
      </c>
      <c r="F167" s="25" t="inlineStr">
        <is>
          <t>Not null</t>
        </is>
      </c>
      <c r="G167" s="25" t="inlineStr">
        <is>
          <t>Thời điểm tạo lịch hẹn</t>
        </is>
      </c>
      <c r="H167" s="24" t="inlineStr">
        <is>
          <t>DA</t>
        </is>
      </c>
    </row>
    <row r="168">
      <c r="A168" s="26" t="inlineStr">
        <is>
          <t>CARE</t>
        </is>
      </c>
      <c r="B168" s="27" t="inlineStr">
        <is>
          <t>HoSoDa</t>
        </is>
      </c>
      <c r="C168" s="27" t="inlineStr">
        <is>
          <t>Id</t>
        </is>
      </c>
      <c r="D168" s="26" t="inlineStr">
        <is>
          <t>UUID</t>
        </is>
      </c>
      <c r="E168" s="27" t="inlineStr">
        <is>
          <t>uuid</t>
        </is>
      </c>
      <c r="F168" s="27" t="inlineStr">
        <is>
          <t>Khóa chính, not null</t>
        </is>
      </c>
      <c r="G168" s="27" t="inlineStr">
        <is>
          <t>Mã định danh hồ sơ da</t>
        </is>
      </c>
      <c r="H168" s="26" t="inlineStr">
        <is>
          <t>DA</t>
        </is>
      </c>
    </row>
    <row r="169">
      <c r="A169" s="24" t="inlineStr">
        <is>
          <t>CARE</t>
        </is>
      </c>
      <c r="B169" s="25" t="inlineStr">
        <is>
          <t>HoSoDa</t>
        </is>
      </c>
      <c r="C169" s="25" t="inlineStr">
        <is>
          <t>IdKhachHang</t>
        </is>
      </c>
      <c r="D169" s="24" t="inlineStr">
        <is>
          <t>UUID</t>
        </is>
      </c>
      <c r="E169" s="25" t="inlineStr">
        <is>
          <t>uuid</t>
        </is>
      </c>
      <c r="F169" s="25" t="inlineStr">
        <is>
          <t>Khóa ngoại tham chiếu KhachHang.MaNguoiDung; not null</t>
        </is>
      </c>
      <c r="G169" s="25" t="inlineStr">
        <is>
          <t>Khách hàng được đánh giá da</t>
        </is>
      </c>
      <c r="H169" s="24" t="inlineStr">
        <is>
          <t>DA</t>
        </is>
      </c>
    </row>
    <row r="170">
      <c r="A170" s="26" t="inlineStr">
        <is>
          <t>CARE</t>
        </is>
      </c>
      <c r="B170" s="27" t="inlineStr">
        <is>
          <t>HoSoDa</t>
        </is>
      </c>
      <c r="C170" s="27" t="inlineStr">
        <is>
          <t>IdNhanVienDanhGia</t>
        </is>
      </c>
      <c r="D170" s="26" t="inlineStr">
        <is>
          <t>UUID</t>
        </is>
      </c>
      <c r="E170" s="27" t="inlineStr">
        <is>
          <t>uuid</t>
        </is>
      </c>
      <c r="F170" s="27" t="inlineStr">
        <is>
          <t>Khóa ngoại tham chiếu NhanVien.MaNguoiDung; not null</t>
        </is>
      </c>
      <c r="G170" s="27" t="inlineStr">
        <is>
          <t>Nhân viên lập hoặc đánh giá hồ sơ</t>
        </is>
      </c>
      <c r="H170" s="26" t="inlineStr">
        <is>
          <t>DA</t>
        </is>
      </c>
    </row>
    <row r="171">
      <c r="A171" s="24" t="inlineStr">
        <is>
          <t>CARE</t>
        </is>
      </c>
      <c r="B171" s="25" t="inlineStr">
        <is>
          <t>HoSoDa</t>
        </is>
      </c>
      <c r="C171" s="25" t="inlineStr">
        <is>
          <t>IdLichHen</t>
        </is>
      </c>
      <c r="D171" s="24" t="inlineStr">
        <is>
          <t>UUID</t>
        </is>
      </c>
      <c r="E171" s="25" t="inlineStr">
        <is>
          <t>uuid</t>
        </is>
      </c>
      <c r="F171" s="25" t="inlineStr">
        <is>
          <t>Khóa ngoại tham chiếu LichHen.Id; unique, not null</t>
        </is>
      </c>
      <c r="G171" s="25" t="inlineStr">
        <is>
          <t>Lịch hẹn phát sinh hồ sơ da</t>
        </is>
      </c>
      <c r="H171" s="24" t="inlineStr">
        <is>
          <t>DA</t>
        </is>
      </c>
    </row>
    <row r="172">
      <c r="A172" s="26" t="inlineStr">
        <is>
          <t>CARE</t>
        </is>
      </c>
      <c r="B172" s="27" t="inlineStr">
        <is>
          <t>HoSoDa</t>
        </is>
      </c>
      <c r="C172" s="27" t="inlineStr">
        <is>
          <t>NgayDanhGia</t>
        </is>
      </c>
      <c r="D172" s="26" t="inlineStr">
        <is>
          <t>DATETIME</t>
        </is>
      </c>
      <c r="E172" s="27" t="inlineStr">
        <is>
          <t>timestamptz</t>
        </is>
      </c>
      <c r="F172" s="27" t="inlineStr">
        <is>
          <t>Not null</t>
        </is>
      </c>
      <c r="G172" s="27" t="inlineStr">
        <is>
          <t>Thời điểm đánh giá da</t>
        </is>
      </c>
      <c r="H172" s="26" t="inlineStr">
        <is>
          <t>DA</t>
        </is>
      </c>
    </row>
    <row r="173">
      <c r="A173" s="24" t="inlineStr">
        <is>
          <t>CARE</t>
        </is>
      </c>
      <c r="B173" s="25" t="inlineStr">
        <is>
          <t>HoSoDa</t>
        </is>
      </c>
      <c r="C173" s="25" t="inlineStr">
        <is>
          <t>LoaiDa</t>
        </is>
      </c>
      <c r="D173" s="24" t="inlineStr">
        <is>
          <t>ENUM</t>
        </is>
      </c>
      <c r="E173" s="25" t="inlineStr">
        <is>
          <t>varchar(30) + CHECK</t>
        </is>
      </c>
      <c r="F173" s="25" t="inlineStr">
        <is>
          <t>Not null</t>
        </is>
      </c>
      <c r="G173" s="25" t="inlineStr">
        <is>
          <t>Phân loại da của khách hàng</t>
        </is>
      </c>
      <c r="H173" s="24" t="inlineStr">
        <is>
          <t>DA</t>
        </is>
      </c>
    </row>
    <row r="174">
      <c r="A174" s="26" t="inlineStr">
        <is>
          <t>CARE</t>
        </is>
      </c>
      <c r="B174" s="27" t="inlineStr">
        <is>
          <t>HoSoDa</t>
        </is>
      </c>
      <c r="C174" s="27" t="inlineStr">
        <is>
          <t>VanDeChinh</t>
        </is>
      </c>
      <c r="D174" s="26" t="inlineStr">
        <is>
          <t>TEXT</t>
        </is>
      </c>
      <c r="E174" s="27" t="inlineStr">
        <is>
          <t>text</t>
        </is>
      </c>
      <c r="F174" s="27" t="inlineStr">
        <is>
          <t>Cho phép null</t>
        </is>
      </c>
      <c r="G174" s="27" t="inlineStr">
        <is>
          <t>Các vấn đề da được ghi nhận</t>
        </is>
      </c>
      <c r="H174" s="26" t="inlineStr">
        <is>
          <t>DA</t>
        </is>
      </c>
    </row>
    <row r="175">
      <c r="A175" s="24" t="inlineStr">
        <is>
          <t>CARE</t>
        </is>
      </c>
      <c r="B175" s="25" t="inlineStr">
        <is>
          <t>HoSoDa</t>
        </is>
      </c>
      <c r="C175" s="25" t="inlineStr">
        <is>
          <t>SanPhamDangDung</t>
        </is>
      </c>
      <c r="D175" s="24" t="inlineStr">
        <is>
          <t>TEXT</t>
        </is>
      </c>
      <c r="E175" s="25" t="inlineStr">
        <is>
          <t>text</t>
        </is>
      </c>
      <c r="F175" s="25" t="inlineStr">
        <is>
          <t>Cho phép null</t>
        </is>
      </c>
      <c r="G175" s="25" t="inlineStr">
        <is>
          <t>Các sản phẩm khách hàng đang sử dụng</t>
        </is>
      </c>
      <c r="H175" s="24" t="inlineStr">
        <is>
          <t>DA</t>
        </is>
      </c>
    </row>
    <row r="176">
      <c r="A176" s="26" t="inlineStr">
        <is>
          <t>CARE</t>
        </is>
      </c>
      <c r="B176" s="27" t="inlineStr">
        <is>
          <t>HoSoDa</t>
        </is>
      </c>
      <c r="C176" s="27" t="inlineStr">
        <is>
          <t>MucTieuChamSoc</t>
        </is>
      </c>
      <c r="D176" s="26" t="inlineStr">
        <is>
          <t>TEXT</t>
        </is>
      </c>
      <c r="E176" s="27" t="inlineStr">
        <is>
          <t>text</t>
        </is>
      </c>
      <c r="F176" s="27" t="inlineStr">
        <is>
          <t>Cho phép null</t>
        </is>
      </c>
      <c r="G176" s="27" t="inlineStr">
        <is>
          <t>Mục tiêu chăm sóc da</t>
        </is>
      </c>
      <c r="H176" s="26" t="inlineStr">
        <is>
          <t>DA</t>
        </is>
      </c>
    </row>
    <row r="177">
      <c r="A177" s="24" t="inlineStr">
        <is>
          <t>CARE</t>
        </is>
      </c>
      <c r="B177" s="25" t="inlineStr">
        <is>
          <t>HoSoDa</t>
        </is>
      </c>
      <c r="C177" s="25" t="inlineStr">
        <is>
          <t>DeXuatDieuTri</t>
        </is>
      </c>
      <c r="D177" s="24" t="inlineStr">
        <is>
          <t>TEXT</t>
        </is>
      </c>
      <c r="E177" s="25" t="inlineStr">
        <is>
          <t>text</t>
        </is>
      </c>
      <c r="F177" s="25" t="inlineStr">
        <is>
          <t>Cho phép null</t>
        </is>
      </c>
      <c r="G177" s="25" t="inlineStr">
        <is>
          <t>Đề xuất phương án chăm sóc</t>
        </is>
      </c>
      <c r="H177" s="24" t="inlineStr">
        <is>
          <t>DA</t>
        </is>
      </c>
    </row>
    <row r="178">
      <c r="A178" s="26" t="inlineStr">
        <is>
          <t>CARE</t>
        </is>
      </c>
      <c r="B178" s="27" t="inlineStr">
        <is>
          <t>HoSoDa</t>
        </is>
      </c>
      <c r="C178" s="27" t="inlineStr">
        <is>
          <t>GhiChu</t>
        </is>
      </c>
      <c r="D178" s="26" t="inlineStr">
        <is>
          <t>TEXT</t>
        </is>
      </c>
      <c r="E178" s="27" t="inlineStr">
        <is>
          <t>text</t>
        </is>
      </c>
      <c r="F178" s="27" t="inlineStr">
        <is>
          <t>Cho phép null</t>
        </is>
      </c>
      <c r="G178" s="27" t="inlineStr">
        <is>
          <t>Ghi chú bổ sung về hồ sơ da</t>
        </is>
      </c>
      <c r="H178" s="26" t="inlineStr">
        <is>
          <t>DA</t>
        </is>
      </c>
    </row>
    <row r="179">
      <c r="A179" s="24" t="inlineStr">
        <is>
          <t>CARE</t>
        </is>
      </c>
      <c r="B179" s="25" t="inlineStr">
        <is>
          <t>HoSoDa</t>
        </is>
      </c>
      <c r="C179" s="25" t="inlineStr">
        <is>
          <t>NgayTao</t>
        </is>
      </c>
      <c r="D179" s="24" t="inlineStr">
        <is>
          <t>DATETIME</t>
        </is>
      </c>
      <c r="E179" s="25" t="inlineStr">
        <is>
          <t>timestamptz</t>
        </is>
      </c>
      <c r="F179" s="25" t="inlineStr">
        <is>
          <t>Not null</t>
        </is>
      </c>
      <c r="G179" s="25" t="inlineStr">
        <is>
          <t>Thời điểm tạo hồ sơ</t>
        </is>
      </c>
      <c r="H179" s="24" t="inlineStr">
        <is>
          <t>DA</t>
        </is>
      </c>
    </row>
    <row r="180">
      <c r="A180" s="26" t="inlineStr">
        <is>
          <t>CARE</t>
        </is>
      </c>
      <c r="B180" s="27" t="inlineStr">
        <is>
          <t>HoSoDa</t>
        </is>
      </c>
      <c r="C180" s="27" t="inlineStr">
        <is>
          <t>NgayCapNhat</t>
        </is>
      </c>
      <c r="D180" s="26" t="inlineStr">
        <is>
          <t>DATETIME</t>
        </is>
      </c>
      <c r="E180" s="27" t="inlineStr">
        <is>
          <t>timestamptz</t>
        </is>
      </c>
      <c r="F180" s="27" t="inlineStr">
        <is>
          <t>Not null</t>
        </is>
      </c>
      <c r="G180" s="27" t="inlineStr">
        <is>
          <t>Thời điểm cập nhật hồ sơ</t>
        </is>
      </c>
      <c r="H180" s="26" t="inlineStr">
        <is>
          <t>DA</t>
        </is>
      </c>
    </row>
    <row r="181">
      <c r="A181" s="24" t="inlineStr">
        <is>
          <t>CARE</t>
        </is>
      </c>
      <c r="B181" s="25" t="inlineStr">
        <is>
          <t>DiUngKhachHang</t>
        </is>
      </c>
      <c r="C181" s="25" t="inlineStr">
        <is>
          <t>Id</t>
        </is>
      </c>
      <c r="D181" s="24" t="inlineStr">
        <is>
          <t>UUID</t>
        </is>
      </c>
      <c r="E181" s="25" t="inlineStr">
        <is>
          <t>uuid</t>
        </is>
      </c>
      <c r="F181" s="25" t="inlineStr">
        <is>
          <t>Khóa chính, not null</t>
        </is>
      </c>
      <c r="G181" s="25" t="inlineStr">
        <is>
          <t>Mã định danh thông tin dị ứng</t>
        </is>
      </c>
      <c r="H181" s="24" t="inlineStr">
        <is>
          <t>DA</t>
        </is>
      </c>
    </row>
    <row r="182">
      <c r="A182" s="26" t="inlineStr">
        <is>
          <t>CARE</t>
        </is>
      </c>
      <c r="B182" s="27" t="inlineStr">
        <is>
          <t>DiUngKhachHang</t>
        </is>
      </c>
      <c r="C182" s="27" t="inlineStr">
        <is>
          <t>IdKhachHang</t>
        </is>
      </c>
      <c r="D182" s="26" t="inlineStr">
        <is>
          <t>UUID</t>
        </is>
      </c>
      <c r="E182" s="27" t="inlineStr">
        <is>
          <t>uuid</t>
        </is>
      </c>
      <c r="F182" s="27" t="inlineStr">
        <is>
          <t>Khóa ngoại tham chiếu KhachHang.MaNguoiDung; not null</t>
        </is>
      </c>
      <c r="G182" s="27" t="inlineStr">
        <is>
          <t>Khách hàng có thông tin dị ứng</t>
        </is>
      </c>
      <c r="H182" s="26" t="inlineStr">
        <is>
          <t>DA</t>
        </is>
      </c>
    </row>
    <row r="183">
      <c r="A183" s="24" t="inlineStr">
        <is>
          <t>CARE</t>
        </is>
      </c>
      <c r="B183" s="25" t="inlineStr">
        <is>
          <t>DiUngKhachHang</t>
        </is>
      </c>
      <c r="C183" s="25" t="inlineStr">
        <is>
          <t>TacNhan</t>
        </is>
      </c>
      <c r="D183" s="24" t="inlineStr">
        <is>
          <t>STRING</t>
        </is>
      </c>
      <c r="E183" s="25" t="inlineStr">
        <is>
          <t>varchar(255)</t>
        </is>
      </c>
      <c r="F183" s="25" t="inlineStr">
        <is>
          <t>Not null</t>
        </is>
      </c>
      <c r="G183" s="25" t="inlineStr">
        <is>
          <t>Tác nhân gây dị ứng được ghi nhận</t>
        </is>
      </c>
      <c r="H183" s="24" t="inlineStr">
        <is>
          <t>DA</t>
        </is>
      </c>
    </row>
    <row r="184">
      <c r="A184" s="26" t="inlineStr">
        <is>
          <t>CARE</t>
        </is>
      </c>
      <c r="B184" s="27" t="inlineStr">
        <is>
          <t>DiUngKhachHang</t>
        </is>
      </c>
      <c r="C184" s="27" t="inlineStr">
        <is>
          <t>MucDo</t>
        </is>
      </c>
      <c r="D184" s="26" t="inlineStr">
        <is>
          <t>ENUM</t>
        </is>
      </c>
      <c r="E184" s="27" t="inlineStr">
        <is>
          <t>varchar(30) + CHECK</t>
        </is>
      </c>
      <c r="F184" s="27" t="inlineStr">
        <is>
          <t>Not null</t>
        </is>
      </c>
      <c r="G184" s="27" t="inlineStr">
        <is>
          <t>Mức độ dị ứng được ghi nhận</t>
        </is>
      </c>
      <c r="H184" s="26" t="inlineStr">
        <is>
          <t>DA</t>
        </is>
      </c>
    </row>
    <row r="185">
      <c r="A185" s="24" t="inlineStr">
        <is>
          <t>CARE</t>
        </is>
      </c>
      <c r="B185" s="25" t="inlineStr">
        <is>
          <t>DiUngKhachHang</t>
        </is>
      </c>
      <c r="C185" s="25" t="inlineStr">
        <is>
          <t>GhiChu</t>
        </is>
      </c>
      <c r="D185" s="24" t="inlineStr">
        <is>
          <t>TEXT</t>
        </is>
      </c>
      <c r="E185" s="25" t="inlineStr">
        <is>
          <t>text</t>
        </is>
      </c>
      <c r="F185" s="25" t="inlineStr">
        <is>
          <t>Cho phép null</t>
        </is>
      </c>
      <c r="G185" s="25" t="inlineStr">
        <is>
          <t>Ghi chú về biểu hiện dị ứng</t>
        </is>
      </c>
      <c r="H185" s="24" t="inlineStr">
        <is>
          <t>DA</t>
        </is>
      </c>
    </row>
    <row r="186">
      <c r="A186" s="26" t="inlineStr">
        <is>
          <t>CARE</t>
        </is>
      </c>
      <c r="B186" s="27" t="inlineStr">
        <is>
          <t>DiUngKhachHang</t>
        </is>
      </c>
      <c r="C186" s="27" t="inlineStr">
        <is>
          <t>NgayGhiNhan</t>
        </is>
      </c>
      <c r="D186" s="26" t="inlineStr">
        <is>
          <t>DATETIME</t>
        </is>
      </c>
      <c r="E186" s="27" t="inlineStr">
        <is>
          <t>timestamptz</t>
        </is>
      </c>
      <c r="F186" s="27" t="inlineStr">
        <is>
          <t>Not null</t>
        </is>
      </c>
      <c r="G186" s="27" t="inlineStr">
        <is>
          <t>Thời điểm ghi nhận thông tin dị ứng</t>
        </is>
      </c>
      <c r="H186" s="26" t="inlineStr">
        <is>
          <t>DA</t>
        </is>
      </c>
    </row>
    <row r="187">
      <c r="A187" s="24" t="inlineStr">
        <is>
          <t>REV</t>
        </is>
      </c>
      <c r="B187" s="25" t="inlineStr">
        <is>
          <t>DanhGia</t>
        </is>
      </c>
      <c r="C187" s="25" t="inlineStr">
        <is>
          <t>Id</t>
        </is>
      </c>
      <c r="D187" s="24" t="inlineStr">
        <is>
          <t>UUID</t>
        </is>
      </c>
      <c r="E187" s="25" t="inlineStr">
        <is>
          <t>uuid</t>
        </is>
      </c>
      <c r="F187" s="25" t="inlineStr">
        <is>
          <t>Khóa chính, not null</t>
        </is>
      </c>
      <c r="G187" s="25" t="inlineStr">
        <is>
          <t>Mã định danh đánh giá</t>
        </is>
      </c>
      <c r="H187" s="24" t="inlineStr">
        <is>
          <t>DA</t>
        </is>
      </c>
    </row>
    <row r="188">
      <c r="A188" s="26" t="inlineStr">
        <is>
          <t>REV</t>
        </is>
      </c>
      <c r="B188" s="27" t="inlineStr">
        <is>
          <t>DanhGia</t>
        </is>
      </c>
      <c r="C188" s="27" t="inlineStr">
        <is>
          <t>IdKhachHang</t>
        </is>
      </c>
      <c r="D188" s="26" t="inlineStr">
        <is>
          <t>UUID</t>
        </is>
      </c>
      <c r="E188" s="27" t="inlineStr">
        <is>
          <t>uuid</t>
        </is>
      </c>
      <c r="F188" s="27" t="inlineStr">
        <is>
          <t>Khóa ngoại tham chiếu KhachHang.MaNguoiDung; not null</t>
        </is>
      </c>
      <c r="G188" s="27" t="inlineStr">
        <is>
          <t>Khách hàng gửi đánh giá</t>
        </is>
      </c>
      <c r="H188" s="26" t="inlineStr">
        <is>
          <t>DA</t>
        </is>
      </c>
    </row>
    <row r="189">
      <c r="A189" s="24" t="inlineStr">
        <is>
          <t>REV</t>
        </is>
      </c>
      <c r="B189" s="25" t="inlineStr">
        <is>
          <t>DanhGia</t>
        </is>
      </c>
      <c r="C189" s="25" t="inlineStr">
        <is>
          <t>IdDichVu</t>
        </is>
      </c>
      <c r="D189" s="24" t="inlineStr">
        <is>
          <t>UUID</t>
        </is>
      </c>
      <c r="E189" s="25" t="inlineStr">
        <is>
          <t>uuid</t>
        </is>
      </c>
      <c r="F189" s="25" t="inlineStr">
        <is>
          <t>Khóa ngoại tham chiếu DichVu.Id; cho phép null</t>
        </is>
      </c>
      <c r="G189" s="25" t="inlineStr">
        <is>
          <t>Dịch vụ được đánh giá</t>
        </is>
      </c>
      <c r="H189" s="24" t="inlineStr">
        <is>
          <t>DA</t>
        </is>
      </c>
    </row>
    <row r="190">
      <c r="A190" s="26" t="inlineStr">
        <is>
          <t>REV</t>
        </is>
      </c>
      <c r="B190" s="27" t="inlineStr">
        <is>
          <t>DanhGia</t>
        </is>
      </c>
      <c r="C190" s="27" t="inlineStr">
        <is>
          <t>IdGoiDichVu</t>
        </is>
      </c>
      <c r="D190" s="26" t="inlineStr">
        <is>
          <t>UUID</t>
        </is>
      </c>
      <c r="E190" s="27" t="inlineStr">
        <is>
          <t>uuid</t>
        </is>
      </c>
      <c r="F190" s="27" t="inlineStr">
        <is>
          <t>Khóa ngoại tham chiếu GoiDichVu.Id; cho phép null</t>
        </is>
      </c>
      <c r="G190" s="27" t="inlineStr">
        <is>
          <t>Gói dịch vụ được đánh giá</t>
        </is>
      </c>
      <c r="H190" s="26" t="inlineStr">
        <is>
          <t>DA</t>
        </is>
      </c>
    </row>
    <row r="191">
      <c r="A191" s="24" t="inlineStr">
        <is>
          <t>REV</t>
        </is>
      </c>
      <c r="B191" s="25" t="inlineStr">
        <is>
          <t>DanhGia</t>
        </is>
      </c>
      <c r="C191" s="25" t="inlineStr">
        <is>
          <t>NoiDungDanhGia</t>
        </is>
      </c>
      <c r="D191" s="24" t="inlineStr">
        <is>
          <t>TEXT</t>
        </is>
      </c>
      <c r="E191" s="25" t="inlineStr">
        <is>
          <t>text</t>
        </is>
      </c>
      <c r="F191" s="25" t="inlineStr">
        <is>
          <t>Cho phép null</t>
        </is>
      </c>
      <c r="G191" s="25" t="inlineStr">
        <is>
          <t>Nội dung nhận xét của khách hàng</t>
        </is>
      </c>
      <c r="H191" s="24" t="inlineStr">
        <is>
          <t>DA</t>
        </is>
      </c>
    </row>
    <row r="192">
      <c r="A192" s="26" t="inlineStr">
        <is>
          <t>REV</t>
        </is>
      </c>
      <c r="B192" s="27" t="inlineStr">
        <is>
          <t>DanhGia</t>
        </is>
      </c>
      <c r="C192" s="27" t="inlineStr">
        <is>
          <t>PhanHoiTuSpa</t>
        </is>
      </c>
      <c r="D192" s="26" t="inlineStr">
        <is>
          <t>TEXT</t>
        </is>
      </c>
      <c r="E192" s="27" t="inlineStr">
        <is>
          <t>text</t>
        </is>
      </c>
      <c r="F192" s="27" t="inlineStr">
        <is>
          <t>Cho phép null</t>
        </is>
      </c>
      <c r="G192" s="27" t="inlineStr">
        <is>
          <t>Nội dung phản hồi từ spa</t>
        </is>
      </c>
      <c r="H192" s="26" t="inlineStr">
        <is>
          <t>DA</t>
        </is>
      </c>
    </row>
    <row r="193">
      <c r="A193" s="24" t="inlineStr">
        <is>
          <t>REV</t>
        </is>
      </c>
      <c r="B193" s="25" t="inlineStr">
        <is>
          <t>DanhGia</t>
        </is>
      </c>
      <c r="C193" s="25" t="inlineStr">
        <is>
          <t>PhanHoiLuc</t>
        </is>
      </c>
      <c r="D193" s="24" t="inlineStr">
        <is>
          <t>DATETIME</t>
        </is>
      </c>
      <c r="E193" s="25" t="inlineStr">
        <is>
          <t>timestamptz</t>
        </is>
      </c>
      <c r="F193" s="25" t="inlineStr">
        <is>
          <t>Cho phép null</t>
        </is>
      </c>
      <c r="G193" s="25" t="inlineStr">
        <is>
          <t>Thời điểm spa phản hồi đánh giá</t>
        </is>
      </c>
      <c r="H193" s="24" t="inlineStr">
        <is>
          <t>DA</t>
        </is>
      </c>
    </row>
    <row r="194">
      <c r="A194" s="26" t="inlineStr">
        <is>
          <t>REV</t>
        </is>
      </c>
      <c r="B194" s="27" t="inlineStr">
        <is>
          <t>DanhGia</t>
        </is>
      </c>
      <c r="C194" s="27" t="inlineStr">
        <is>
          <t>SoSao</t>
        </is>
      </c>
      <c r="D194" s="26" t="inlineStr">
        <is>
          <t>INTEGER</t>
        </is>
      </c>
      <c r="E194" s="27" t="inlineStr">
        <is>
          <t>integer</t>
        </is>
      </c>
      <c r="F194" s="27" t="inlineStr">
        <is>
          <t>Từ 1 đến 5, not null</t>
        </is>
      </c>
      <c r="G194" s="27" t="inlineStr">
        <is>
          <t>Số sao khách hàng đánh giá</t>
        </is>
      </c>
      <c r="H194" s="26" t="inlineStr">
        <is>
          <t>DA</t>
        </is>
      </c>
    </row>
    <row r="195">
      <c r="A195" s="24" t="inlineStr">
        <is>
          <t>REV</t>
        </is>
      </c>
      <c r="B195" s="25" t="inlineStr">
        <is>
          <t>DanhGia</t>
        </is>
      </c>
      <c r="C195" s="25" t="inlineStr">
        <is>
          <t>HinhAnh</t>
        </is>
      </c>
      <c r="D195" s="24" t="inlineStr">
        <is>
          <t>STRING</t>
        </is>
      </c>
      <c r="E195" s="25" t="inlineStr">
        <is>
          <t>varchar(500)</t>
        </is>
      </c>
      <c r="F195" s="25" t="inlineStr">
        <is>
          <t>Cho phép null</t>
        </is>
      </c>
      <c r="G195" s="25" t="inlineStr">
        <is>
          <t>Đường dẫn hình ảnh đính kèm</t>
        </is>
      </c>
      <c r="H195" s="24" t="inlineStr">
        <is>
          <t>DA</t>
        </is>
      </c>
    </row>
    <row r="196">
      <c r="A196" s="26" t="inlineStr">
        <is>
          <t>REV</t>
        </is>
      </c>
      <c r="B196" s="27" t="inlineStr">
        <is>
          <t>DanhGia</t>
        </is>
      </c>
      <c r="C196" s="27" t="inlineStr">
        <is>
          <t>TrangThai</t>
        </is>
      </c>
      <c r="D196" s="26" t="inlineStr">
        <is>
          <t>ENUM</t>
        </is>
      </c>
      <c r="E196" s="27" t="inlineStr">
        <is>
          <t>varchar(30) + CHECK</t>
        </is>
      </c>
      <c r="F196" s="27" t="inlineStr">
        <is>
          <t>Not null</t>
        </is>
      </c>
      <c r="G196" s="27" t="inlineStr">
        <is>
          <t>Trạng thái hiển thị đánh giá</t>
        </is>
      </c>
      <c r="H196" s="26" t="inlineStr">
        <is>
          <t>DA</t>
        </is>
      </c>
    </row>
    <row r="197">
      <c r="A197" s="24" t="inlineStr">
        <is>
          <t>REV</t>
        </is>
      </c>
      <c r="B197" s="25" t="inlineStr">
        <is>
          <t>DanhGia</t>
        </is>
      </c>
      <c r="C197" s="25" t="inlineStr">
        <is>
          <t>NgayTao</t>
        </is>
      </c>
      <c r="D197" s="24" t="inlineStr">
        <is>
          <t>DATETIME</t>
        </is>
      </c>
      <c r="E197" s="25" t="inlineStr">
        <is>
          <t>timestamptz</t>
        </is>
      </c>
      <c r="F197" s="25" t="inlineStr">
        <is>
          <t>Not null</t>
        </is>
      </c>
      <c r="G197" s="25" t="inlineStr">
        <is>
          <t>Thời điểm tạo đánh giá</t>
        </is>
      </c>
      <c r="H197" s="24" t="inlineStr">
        <is>
          <t>DA</t>
        </is>
      </c>
    </row>
    <row r="198">
      <c r="A198" s="26" t="inlineStr">
        <is>
          <t>REV</t>
        </is>
      </c>
      <c r="B198" s="27" t="inlineStr">
        <is>
          <t>DanhGia</t>
        </is>
      </c>
      <c r="C198" s="27" t="inlineStr">
        <is>
          <t>NgayCapNhat</t>
        </is>
      </c>
      <c r="D198" s="26" t="inlineStr">
        <is>
          <t>DATETIME</t>
        </is>
      </c>
      <c r="E198" s="27" t="inlineStr">
        <is>
          <t>timestamptz</t>
        </is>
      </c>
      <c r="F198" s="27" t="inlineStr">
        <is>
          <t>Not null</t>
        </is>
      </c>
      <c r="G198" s="27" t="inlineStr">
        <is>
          <t>Thời điểm cập nhật đánh giá</t>
        </is>
      </c>
      <c r="H198" s="26" t="inlineStr">
        <is>
          <t>DA</t>
        </is>
      </c>
    </row>
    <row r="199">
      <c r="A199" s="24" t="inlineStr">
        <is>
          <t>AI</t>
        </is>
      </c>
      <c r="B199" s="25" t="inlineStr">
        <is>
          <t>LichSuTroChuyenAI</t>
        </is>
      </c>
      <c r="C199" s="25" t="inlineStr">
        <is>
          <t>Id</t>
        </is>
      </c>
      <c r="D199" s="24" t="inlineStr">
        <is>
          <t>UUID</t>
        </is>
      </c>
      <c r="E199" s="25" t="inlineStr">
        <is>
          <t>uuid</t>
        </is>
      </c>
      <c r="F199" s="25" t="inlineStr">
        <is>
          <t>Khóa chính, not null</t>
        </is>
      </c>
      <c r="G199" s="25" t="inlineStr">
        <is>
          <t>Mã định danh lượt trao đổi với AI</t>
        </is>
      </c>
      <c r="H199" s="24" t="inlineStr">
        <is>
          <t>DA</t>
        </is>
      </c>
    </row>
    <row r="200">
      <c r="A200" s="26" t="inlineStr">
        <is>
          <t>AI</t>
        </is>
      </c>
      <c r="B200" s="27" t="inlineStr">
        <is>
          <t>LichSuTroChuyenAI</t>
        </is>
      </c>
      <c r="C200" s="27" t="inlineStr">
        <is>
          <t>IdKhachHang</t>
        </is>
      </c>
      <c r="D200" s="26" t="inlineStr">
        <is>
          <t>UUID</t>
        </is>
      </c>
      <c r="E200" s="27" t="inlineStr">
        <is>
          <t>uuid</t>
        </is>
      </c>
      <c r="F200" s="27" t="inlineStr">
        <is>
          <t>Khóa ngoại tham chiếu KhachHang.MaNguoiDung; not null</t>
        </is>
      </c>
      <c r="G200" s="27" t="inlineStr">
        <is>
          <t>Khách hàng tham gia trò chuyện</t>
        </is>
      </c>
      <c r="H200" s="26" t="inlineStr">
        <is>
          <t>DA</t>
        </is>
      </c>
    </row>
    <row r="201">
      <c r="A201" s="24" t="inlineStr">
        <is>
          <t>AI</t>
        </is>
      </c>
      <c r="B201" s="25" t="inlineStr">
        <is>
          <t>LichSuTroChuyenAI</t>
        </is>
      </c>
      <c r="C201" s="25" t="inlineStr">
        <is>
          <t>CauHoi</t>
        </is>
      </c>
      <c r="D201" s="24" t="inlineStr">
        <is>
          <t>TEXT</t>
        </is>
      </c>
      <c r="E201" s="25" t="inlineStr">
        <is>
          <t>text</t>
        </is>
      </c>
      <c r="F201" s="25" t="inlineStr">
        <is>
          <t>Not null</t>
        </is>
      </c>
      <c r="G201" s="25" t="inlineStr">
        <is>
          <t>Nội dung câu hỏi của khách hàng</t>
        </is>
      </c>
      <c r="H201" s="24" t="inlineStr">
        <is>
          <t>DA</t>
        </is>
      </c>
    </row>
    <row r="202">
      <c r="A202" s="26" t="inlineStr">
        <is>
          <t>AI</t>
        </is>
      </c>
      <c r="B202" s="27" t="inlineStr">
        <is>
          <t>LichSuTroChuyenAI</t>
        </is>
      </c>
      <c r="C202" s="27" t="inlineStr">
        <is>
          <t>CauTraLoi</t>
        </is>
      </c>
      <c r="D202" s="26" t="inlineStr">
        <is>
          <t>TEXT</t>
        </is>
      </c>
      <c r="E202" s="27" t="inlineStr">
        <is>
          <t>text</t>
        </is>
      </c>
      <c r="F202" s="27" t="inlineStr">
        <is>
          <t>Not null</t>
        </is>
      </c>
      <c r="G202" s="27" t="inlineStr">
        <is>
          <t>Nội dung phản hồi từ trợ lý AI</t>
        </is>
      </c>
      <c r="H202" s="26" t="inlineStr">
        <is>
          <t>DA</t>
        </is>
      </c>
    </row>
    <row r="203">
      <c r="A203" s="24" t="inlineStr">
        <is>
          <t>AI</t>
        </is>
      </c>
      <c r="B203" s="25" t="inlineStr">
        <is>
          <t>LichSuTroChuyenAI</t>
        </is>
      </c>
      <c r="C203" s="25" t="inlineStr">
        <is>
          <t>ThoiGian</t>
        </is>
      </c>
      <c r="D203" s="24" t="inlineStr">
        <is>
          <t>DATETIME</t>
        </is>
      </c>
      <c r="E203" s="25" t="inlineStr">
        <is>
          <t>timestamptz</t>
        </is>
      </c>
      <c r="F203" s="25" t="inlineStr">
        <is>
          <t>Not null</t>
        </is>
      </c>
      <c r="G203" s="25" t="inlineStr">
        <is>
          <t>Thời điểm ghi nhận lượt trao đổi</t>
        </is>
      </c>
      <c r="H203" s="24" t="inlineStr">
        <is>
          <t>DA</t>
        </is>
      </c>
    </row>
    <row r="204">
      <c r="A204" s="26" t="inlineStr">
        <is>
          <t>NTF</t>
        </is>
      </c>
      <c r="B204" s="27" t="inlineStr">
        <is>
          <t>ThongBao</t>
        </is>
      </c>
      <c r="C204" s="27" t="inlineStr">
        <is>
          <t>Id</t>
        </is>
      </c>
      <c r="D204" s="26" t="inlineStr">
        <is>
          <t>UUID</t>
        </is>
      </c>
      <c r="E204" s="27" t="inlineStr">
        <is>
          <t>uuid</t>
        </is>
      </c>
      <c r="F204" s="27" t="inlineStr">
        <is>
          <t>Khóa chính, not null</t>
        </is>
      </c>
      <c r="G204" s="27" t="inlineStr">
        <is>
          <t>Mã định danh thông báo</t>
        </is>
      </c>
      <c r="H204" s="26" t="inlineStr">
        <is>
          <t>DA</t>
        </is>
      </c>
    </row>
    <row r="205">
      <c r="A205" s="24" t="inlineStr">
        <is>
          <t>NTF</t>
        </is>
      </c>
      <c r="B205" s="25" t="inlineStr">
        <is>
          <t>ThongBao</t>
        </is>
      </c>
      <c r="C205" s="25" t="inlineStr">
        <is>
          <t>IdNguoiDung</t>
        </is>
      </c>
      <c r="D205" s="24" t="inlineStr">
        <is>
          <t>UUID</t>
        </is>
      </c>
      <c r="E205" s="25" t="inlineStr">
        <is>
          <t>uuid</t>
        </is>
      </c>
      <c r="F205" s="25" t="inlineStr">
        <is>
          <t>Khóa ngoại tham chiếu NguoiDung.MaNguoiDung; not null</t>
        </is>
      </c>
      <c r="G205" s="25" t="inlineStr">
        <is>
          <t>Người dùng nhận thông báo</t>
        </is>
      </c>
      <c r="H205" s="24" t="inlineStr">
        <is>
          <t>DA</t>
        </is>
      </c>
    </row>
    <row r="206">
      <c r="A206" s="26" t="inlineStr">
        <is>
          <t>NTF</t>
        </is>
      </c>
      <c r="B206" s="27" t="inlineStr">
        <is>
          <t>ThongBao</t>
        </is>
      </c>
      <c r="C206" s="27" t="inlineStr">
        <is>
          <t>TieuDe</t>
        </is>
      </c>
      <c r="D206" s="26" t="inlineStr">
        <is>
          <t>STRING</t>
        </is>
      </c>
      <c r="E206" s="27" t="inlineStr">
        <is>
          <t>varchar(255)</t>
        </is>
      </c>
      <c r="F206" s="27" t="inlineStr">
        <is>
          <t>Not null</t>
        </is>
      </c>
      <c r="G206" s="27" t="inlineStr">
        <is>
          <t>Tiêu đề thông báo</t>
        </is>
      </c>
      <c r="H206" s="26" t="inlineStr">
        <is>
          <t>DA</t>
        </is>
      </c>
    </row>
    <row r="207">
      <c r="A207" s="24" t="inlineStr">
        <is>
          <t>NTF</t>
        </is>
      </c>
      <c r="B207" s="25" t="inlineStr">
        <is>
          <t>ThongBao</t>
        </is>
      </c>
      <c r="C207" s="25" t="inlineStr">
        <is>
          <t>NoiDung</t>
        </is>
      </c>
      <c r="D207" s="24" t="inlineStr">
        <is>
          <t>TEXT</t>
        </is>
      </c>
      <c r="E207" s="25" t="inlineStr">
        <is>
          <t>text</t>
        </is>
      </c>
      <c r="F207" s="25" t="inlineStr">
        <is>
          <t>Not null</t>
        </is>
      </c>
      <c r="G207" s="25" t="inlineStr">
        <is>
          <t>Nội dung thông báo</t>
        </is>
      </c>
      <c r="H207" s="24" t="inlineStr">
        <is>
          <t>DA</t>
        </is>
      </c>
    </row>
    <row r="208">
      <c r="A208" s="26" t="inlineStr">
        <is>
          <t>NTF</t>
        </is>
      </c>
      <c r="B208" s="27" t="inlineStr">
        <is>
          <t>ThongBao</t>
        </is>
      </c>
      <c r="C208" s="27" t="inlineStr">
        <is>
          <t>Loai</t>
        </is>
      </c>
      <c r="D208" s="26" t="inlineStr">
        <is>
          <t>ENUM</t>
        </is>
      </c>
      <c r="E208" s="27" t="inlineStr">
        <is>
          <t>varchar(30) + CHECK</t>
        </is>
      </c>
      <c r="F208" s="27" t="inlineStr">
        <is>
          <t>Not null</t>
        </is>
      </c>
      <c r="G208" s="27" t="inlineStr">
        <is>
          <t>Nhóm thông báo</t>
        </is>
      </c>
      <c r="H208" s="26" t="inlineStr">
        <is>
          <t>DA</t>
        </is>
      </c>
    </row>
    <row r="209">
      <c r="A209" s="24" t="inlineStr">
        <is>
          <t>NTF</t>
        </is>
      </c>
      <c r="B209" s="25" t="inlineStr">
        <is>
          <t>ThongBao</t>
        </is>
      </c>
      <c r="C209" s="25" t="inlineStr">
        <is>
          <t>DocLuc</t>
        </is>
      </c>
      <c r="D209" s="24" t="inlineStr">
        <is>
          <t>DATETIME</t>
        </is>
      </c>
      <c r="E209" s="25" t="inlineStr">
        <is>
          <t>timestamptz</t>
        </is>
      </c>
      <c r="F209" s="25" t="inlineStr">
        <is>
          <t>Cho phép null; null nghĩa là chưa đọc</t>
        </is>
      </c>
      <c r="G209" s="25" t="inlineStr">
        <is>
          <t>Thời điểm người dùng đọc thông báo</t>
        </is>
      </c>
      <c r="H209" s="24" t="inlineStr">
        <is>
          <t>DA</t>
        </is>
      </c>
    </row>
    <row r="210">
      <c r="A210" s="26" t="inlineStr">
        <is>
          <t>NTF</t>
        </is>
      </c>
      <c r="B210" s="27" t="inlineStr">
        <is>
          <t>ThongBao</t>
        </is>
      </c>
      <c r="C210" s="27" t="inlineStr">
        <is>
          <t>NgayTao</t>
        </is>
      </c>
      <c r="D210" s="26" t="inlineStr">
        <is>
          <t>DATETIME</t>
        </is>
      </c>
      <c r="E210" s="27" t="inlineStr">
        <is>
          <t>timestamptz</t>
        </is>
      </c>
      <c r="F210" s="27" t="inlineStr">
        <is>
          <t>Not null</t>
        </is>
      </c>
      <c r="G210" s="27" t="inlineStr">
        <is>
          <t>Thời điểm tạo thông báo</t>
        </is>
      </c>
      <c r="H210" s="26" t="inlineStr">
        <is>
          <t>DA</t>
        </is>
      </c>
    </row>
    <row r="211">
      <c r="A211" s="24" t="inlineStr">
        <is>
          <t>AUTH</t>
        </is>
      </c>
      <c r="B211" s="25" t="inlineStr">
        <is>
          <t>MaOtp</t>
        </is>
      </c>
      <c r="C211" s="25" t="inlineStr">
        <is>
          <t>Id</t>
        </is>
      </c>
      <c r="D211" s="24" t="inlineStr">
        <is>
          <t>UUID</t>
        </is>
      </c>
      <c r="E211" s="25" t="inlineStr">
        <is>
          <t>uuid</t>
        </is>
      </c>
      <c r="F211" s="25" t="inlineStr">
        <is>
          <t>Khóa chính, not null</t>
        </is>
      </c>
      <c r="G211" s="25" t="inlineStr"/>
      <c r="H211" s="24" t="inlineStr">
        <is>
          <t>ĐX (bổ sung)</t>
        </is>
      </c>
    </row>
    <row r="212">
      <c r="A212" s="26" t="inlineStr">
        <is>
          <t>AUTH</t>
        </is>
      </c>
      <c r="B212" s="27" t="inlineStr">
        <is>
          <t>MaOtp</t>
        </is>
      </c>
      <c r="C212" s="27" t="inlineStr">
        <is>
          <t>Email</t>
        </is>
      </c>
      <c r="D212" s="26" t="inlineStr">
        <is>
          <t>STRING</t>
        </is>
      </c>
      <c r="E212" s="27" t="inlineStr">
        <is>
          <t>citext</t>
        </is>
      </c>
      <c r="F212" s="27" t="inlineStr">
        <is>
          <t>Not null; index</t>
        </is>
      </c>
      <c r="G212" s="27" t="inlineStr">
        <is>
          <t>Email nhận OTP</t>
        </is>
      </c>
      <c r="H212" s="26" t="inlineStr">
        <is>
          <t>ĐX (bổ sung)</t>
        </is>
      </c>
    </row>
    <row r="213">
      <c r="A213" s="24" t="inlineStr">
        <is>
          <t>AUTH</t>
        </is>
      </c>
      <c r="B213" s="25" t="inlineStr">
        <is>
          <t>MaOtp</t>
        </is>
      </c>
      <c r="C213" s="25" t="inlineStr">
        <is>
          <t>MucDich</t>
        </is>
      </c>
      <c r="D213" s="24" t="inlineStr">
        <is>
          <t>ENUM</t>
        </is>
      </c>
      <c r="E213" s="25" t="inlineStr">
        <is>
          <t>varchar(30) + CHECK</t>
        </is>
      </c>
      <c r="F213" s="25" t="inlineStr">
        <is>
          <t>Not null</t>
        </is>
      </c>
      <c r="G213" s="25" t="inlineStr">
        <is>
          <t xml:space="preserve">DangKy </t>
        </is>
      </c>
      <c r="H213" s="24" t="inlineStr">
        <is>
          <t>ĐX (bổ sung)</t>
        </is>
      </c>
    </row>
    <row r="214">
      <c r="A214" s="26" t="inlineStr">
        <is>
          <t>AUTH</t>
        </is>
      </c>
      <c r="B214" s="27" t="inlineStr">
        <is>
          <t>MaOtp</t>
        </is>
      </c>
      <c r="C214" s="27" t="inlineStr">
        <is>
          <t>MaOtpHash</t>
        </is>
      </c>
      <c r="D214" s="26" t="inlineStr">
        <is>
          <t>STRING</t>
        </is>
      </c>
      <c r="E214" s="27" t="inlineStr">
        <is>
          <t>varchar(50)</t>
        </is>
      </c>
      <c r="F214" s="27" t="inlineStr">
        <is>
          <t>Not null</t>
        </is>
      </c>
      <c r="G214" s="27" t="inlineStr">
        <is>
          <t>Hash của OTP (không lưu OTP thô)</t>
        </is>
      </c>
      <c r="H214" s="26" t="inlineStr">
        <is>
          <t>ĐX (bổ sung)</t>
        </is>
      </c>
    </row>
    <row r="215">
      <c r="A215" s="24" t="inlineStr">
        <is>
          <t>AUTH</t>
        </is>
      </c>
      <c r="B215" s="25" t="inlineStr">
        <is>
          <t>MaOtp</t>
        </is>
      </c>
      <c r="C215" s="25" t="inlineStr">
        <is>
          <t>DuLieuDangKy</t>
        </is>
      </c>
      <c r="D215" s="24" t="inlineStr">
        <is>
          <t>JSONB</t>
        </is>
      </c>
      <c r="E215" s="25" t="inlineStr">
        <is>
          <t>jsonb</t>
        </is>
      </c>
      <c r="F215" s="25" t="inlineStr">
        <is>
          <t>Cho phép null</t>
        </is>
      </c>
      <c r="G215" s="25" t="inlineStr">
        <is>
          <t>Họ tên, SĐT, mật khẩu đã băm chờ xác thực (chỉ khi DangKy)</t>
        </is>
      </c>
      <c r="H215" s="24" t="inlineStr">
        <is>
          <t>ĐX (bổ sung)</t>
        </is>
      </c>
    </row>
    <row r="216">
      <c r="A216" s="26" t="inlineStr">
        <is>
          <t>AUTH</t>
        </is>
      </c>
      <c r="B216" s="27" t="inlineStr">
        <is>
          <t>MaOtp</t>
        </is>
      </c>
      <c r="C216" s="27" t="inlineStr">
        <is>
          <t>SoLanSai</t>
        </is>
      </c>
      <c r="D216" s="26" t="inlineStr">
        <is>
          <t>INTEGER</t>
        </is>
      </c>
      <c r="E216" s="27" t="inlineStr">
        <is>
          <t>integer</t>
        </is>
      </c>
      <c r="F216" s="27" t="inlineStr">
        <is>
          <t>Not null, ≥ 0</t>
        </is>
      </c>
      <c r="G216" s="27" t="inlineStr">
        <is>
          <t>Chặn sau 5 lần</t>
        </is>
      </c>
      <c r="H216" s="26" t="inlineStr">
        <is>
          <t>ĐX (bổ sung)</t>
        </is>
      </c>
    </row>
    <row r="217">
      <c r="A217" s="24" t="inlineStr">
        <is>
          <t>AUTH</t>
        </is>
      </c>
      <c r="B217" s="25" t="inlineStr">
        <is>
          <t>MaOtp</t>
        </is>
      </c>
      <c r="C217" s="25" t="inlineStr">
        <is>
          <t>HetHanLuc</t>
        </is>
      </c>
      <c r="D217" s="24" t="inlineStr">
        <is>
          <t>DATETIME</t>
        </is>
      </c>
      <c r="E217" s="25" t="inlineStr">
        <is>
          <t>timestamptz</t>
        </is>
      </c>
      <c r="F217" s="25" t="inlineStr">
        <is>
          <t>Not null</t>
        </is>
      </c>
      <c r="G217" s="25" t="inlineStr">
        <is>
          <t>5 phút</t>
        </is>
      </c>
      <c r="H217" s="24" t="inlineStr">
        <is>
          <t>ĐX (bổ sung)</t>
        </is>
      </c>
    </row>
    <row r="218">
      <c r="A218" s="26" t="inlineStr">
        <is>
          <t>AUTH</t>
        </is>
      </c>
      <c r="B218" s="27" t="inlineStr">
        <is>
          <t>MaOtp</t>
        </is>
      </c>
      <c r="C218" s="27" t="inlineStr">
        <is>
          <t>DaDungLuc</t>
        </is>
      </c>
      <c r="D218" s="26" t="inlineStr">
        <is>
          <t>DATETIME</t>
        </is>
      </c>
      <c r="E218" s="27" t="inlineStr">
        <is>
          <t>timestamptz</t>
        </is>
      </c>
      <c r="F218" s="27" t="inlineStr">
        <is>
          <t>Cho phép null</t>
        </is>
      </c>
      <c r="G218" s="27" t="inlineStr"/>
      <c r="H218" s="26" t="inlineStr">
        <is>
          <t>ĐX (bổ sung)</t>
        </is>
      </c>
    </row>
    <row r="219">
      <c r="A219" s="24" t="inlineStr">
        <is>
          <t>AUTH</t>
        </is>
      </c>
      <c r="B219" s="25" t="inlineStr">
        <is>
          <t>MaOtp</t>
        </is>
      </c>
      <c r="C219" s="25" t="inlineStr">
        <is>
          <t>NgayTao</t>
        </is>
      </c>
      <c r="D219" s="24" t="inlineStr">
        <is>
          <t>DATETIME</t>
        </is>
      </c>
      <c r="E219" s="25" t="inlineStr">
        <is>
          <t>timestamptz</t>
        </is>
      </c>
      <c r="F219" s="25" t="inlineStr">
        <is>
          <t>Not null</t>
        </is>
      </c>
      <c r="G219" s="25" t="inlineStr"/>
      <c r="H219" s="24" t="inlineStr">
        <is>
          <t>ĐX (bổ sung)</t>
        </is>
      </c>
    </row>
    <row r="220">
      <c r="A220" s="26" t="inlineStr">
        <is>
          <t>AUTH</t>
        </is>
      </c>
      <c r="B220" s="27" t="inlineStr">
        <is>
          <t>RefreshToken</t>
        </is>
      </c>
      <c r="C220" s="27" t="inlineStr">
        <is>
          <t>Id</t>
        </is>
      </c>
      <c r="D220" s="26" t="inlineStr">
        <is>
          <t>UUID</t>
        </is>
      </c>
      <c r="E220" s="27" t="inlineStr">
        <is>
          <t>uuid</t>
        </is>
      </c>
      <c r="F220" s="27" t="inlineStr">
        <is>
          <t>Khóa chính, not null</t>
        </is>
      </c>
      <c r="G220" s="27" t="inlineStr"/>
      <c r="H220" s="26" t="inlineStr">
        <is>
          <t>ĐX (bổ sung)</t>
        </is>
      </c>
    </row>
    <row r="221">
      <c r="A221" s="24" t="inlineStr">
        <is>
          <t>AUTH</t>
        </is>
      </c>
      <c r="B221" s="25" t="inlineStr">
        <is>
          <t>RefreshToken</t>
        </is>
      </c>
      <c r="C221" s="25" t="inlineStr">
        <is>
          <t>MaNguoiDung</t>
        </is>
      </c>
      <c r="D221" s="24" t="inlineStr">
        <is>
          <t>UUID</t>
        </is>
      </c>
      <c r="E221" s="25" t="inlineStr">
        <is>
          <t>uuid</t>
        </is>
      </c>
      <c r="F221" s="25" t="inlineStr">
        <is>
          <t>Khóa ngoại tham chiếu NguoiDung.MaNguoiDung; not null</t>
        </is>
      </c>
      <c r="G221" s="25" t="inlineStr"/>
      <c r="H221" s="24" t="inlineStr">
        <is>
          <t>ĐX (bổ sung)</t>
        </is>
      </c>
    </row>
    <row r="222">
      <c r="A222" s="26" t="inlineStr">
        <is>
          <t>AUTH</t>
        </is>
      </c>
      <c r="B222" s="27" t="inlineStr">
        <is>
          <t>RefreshToken</t>
        </is>
      </c>
      <c r="C222" s="27" t="inlineStr">
        <is>
          <t>TokenHash</t>
        </is>
      </c>
      <c r="D222" s="26" t="inlineStr">
        <is>
          <t>STRING</t>
        </is>
      </c>
      <c r="E222" s="27" t="inlineStr">
        <is>
          <t>varchar(255)</t>
        </is>
      </c>
      <c r="F222" s="27" t="inlineStr">
        <is>
          <t>Unique, not null</t>
        </is>
      </c>
      <c r="G222" s="27" t="inlineStr"/>
      <c r="H222" s="26" t="inlineStr">
        <is>
          <t>ĐX (bổ sung)</t>
        </is>
      </c>
    </row>
    <row r="223">
      <c r="A223" s="24" t="inlineStr">
        <is>
          <t>AUTH</t>
        </is>
      </c>
      <c r="B223" s="25" t="inlineStr">
        <is>
          <t>RefreshToken</t>
        </is>
      </c>
      <c r="C223" s="25" t="inlineStr">
        <is>
          <t>HetHanLuc</t>
        </is>
      </c>
      <c r="D223" s="24" t="inlineStr">
        <is>
          <t>DATETIME</t>
        </is>
      </c>
      <c r="E223" s="25" t="inlineStr">
        <is>
          <t>timestamptz</t>
        </is>
      </c>
      <c r="F223" s="25" t="inlineStr">
        <is>
          <t>Not null</t>
        </is>
      </c>
      <c r="G223" s="25" t="inlineStr"/>
      <c r="H223" s="24" t="inlineStr">
        <is>
          <t>ĐX (bổ sung)</t>
        </is>
      </c>
    </row>
    <row r="224">
      <c r="A224" s="26" t="inlineStr">
        <is>
          <t>AUTH</t>
        </is>
      </c>
      <c r="B224" s="27" t="inlineStr">
        <is>
          <t>RefreshToken</t>
        </is>
      </c>
      <c r="C224" s="27" t="inlineStr">
        <is>
          <t>ThuHoiLuc</t>
        </is>
      </c>
      <c r="D224" s="26" t="inlineStr">
        <is>
          <t>DATETIME</t>
        </is>
      </c>
      <c r="E224" s="27" t="inlineStr">
        <is>
          <t>timestamptz</t>
        </is>
      </c>
      <c r="F224" s="27" t="inlineStr">
        <is>
          <t>Cho phép null</t>
        </is>
      </c>
      <c r="G224" s="27" t="inlineStr">
        <is>
          <t>Khi đăng xuất, đổi mật khẩu, bị khóa</t>
        </is>
      </c>
      <c r="H224" s="26" t="inlineStr">
        <is>
          <t>ĐX (bổ sung)</t>
        </is>
      </c>
    </row>
    <row r="225">
      <c r="A225" s="24" t="inlineStr">
        <is>
          <t>AUTH</t>
        </is>
      </c>
      <c r="B225" s="25" t="inlineStr">
        <is>
          <t>RefreshToken</t>
        </is>
      </c>
      <c r="C225" s="25" t="inlineStr">
        <is>
          <t>NgayTao</t>
        </is>
      </c>
      <c r="D225" s="24" t="inlineStr">
        <is>
          <t>DATETIME</t>
        </is>
      </c>
      <c r="E225" s="25" t="inlineStr">
        <is>
          <t>timestamptz</t>
        </is>
      </c>
      <c r="F225" s="25" t="inlineStr">
        <is>
          <t>Not null</t>
        </is>
      </c>
      <c r="G225" s="25" t="inlineStr"/>
      <c r="H225" s="24" t="inlineStr">
        <is>
          <t>ĐX (bổ sung)</t>
        </is>
      </c>
    </row>
    <row r="226">
      <c r="A226" s="26" t="inlineStr">
        <is>
          <t>CAT</t>
        </is>
      </c>
      <c r="B226" s="27" t="inlineStr">
        <is>
          <t>ThongTinSpa</t>
        </is>
      </c>
      <c r="C226" s="27" t="inlineStr">
        <is>
          <t>Id</t>
        </is>
      </c>
      <c r="D226" s="26" t="inlineStr">
        <is>
          <t>UUID</t>
        </is>
      </c>
      <c r="E226" s="27" t="inlineStr">
        <is>
          <t>uuid</t>
        </is>
      </c>
      <c r="F226" s="27" t="inlineStr">
        <is>
          <t>Khóa chính, not null</t>
        </is>
      </c>
      <c r="G226" s="27" t="inlineStr">
        <is>
          <t>Một dòng duy nhất</t>
        </is>
      </c>
      <c r="H226" s="26" t="inlineStr">
        <is>
          <t>ĐX (bổ sung)</t>
        </is>
      </c>
    </row>
    <row r="227">
      <c r="A227" s="24" t="inlineStr">
        <is>
          <t>CAT</t>
        </is>
      </c>
      <c r="B227" s="25" t="inlineStr">
        <is>
          <t>ThongTinSpa</t>
        </is>
      </c>
      <c r="C227" s="25" t="inlineStr">
        <is>
          <t>TenSpa</t>
        </is>
      </c>
      <c r="D227" s="24" t="inlineStr">
        <is>
          <t>STRING</t>
        </is>
      </c>
      <c r="E227" s="25" t="inlineStr">
        <is>
          <t>varchar(255)</t>
        </is>
      </c>
      <c r="F227" s="25" t="inlineStr">
        <is>
          <t>Not null</t>
        </is>
      </c>
      <c r="G227" s="25" t="inlineStr">
        <is>
          <t>Spa Như Nguyệt</t>
        </is>
      </c>
      <c r="H227" s="24" t="inlineStr">
        <is>
          <t>ĐX (bổ sung)</t>
        </is>
      </c>
    </row>
    <row r="228">
      <c r="A228" s="26" t="inlineStr">
        <is>
          <t>CAT</t>
        </is>
      </c>
      <c r="B228" s="27" t="inlineStr">
        <is>
          <t>ThongTinSpa</t>
        </is>
      </c>
      <c r="C228" s="27" t="inlineStr">
        <is>
          <t>GioiThieu</t>
        </is>
      </c>
      <c r="D228" s="26" t="inlineStr">
        <is>
          <t>TEXT</t>
        </is>
      </c>
      <c r="E228" s="27" t="inlineStr">
        <is>
          <t>text</t>
        </is>
      </c>
      <c r="F228" s="27" t="inlineStr">
        <is>
          <t>Cho phép null</t>
        </is>
      </c>
      <c r="G228" s="27" t="inlineStr"/>
      <c r="H228" s="26" t="inlineStr">
        <is>
          <t>ĐX (bổ sung)</t>
        </is>
      </c>
    </row>
    <row r="229">
      <c r="A229" s="24" t="inlineStr">
        <is>
          <t>CAT</t>
        </is>
      </c>
      <c r="B229" s="25" t="inlineStr">
        <is>
          <t>ThongTinSpa</t>
        </is>
      </c>
      <c r="C229" s="25" t="inlineStr">
        <is>
          <t>DiaChi</t>
        </is>
      </c>
      <c r="D229" s="24" t="inlineStr">
        <is>
          <t>STRING</t>
        </is>
      </c>
      <c r="E229" s="25" t="inlineStr">
        <is>
          <t>varchar(255)</t>
        </is>
      </c>
      <c r="F229" s="25" t="inlineStr">
        <is>
          <t>Cho phép null</t>
        </is>
      </c>
      <c r="G229" s="25" t="inlineStr"/>
      <c r="H229" s="24" t="inlineStr">
        <is>
          <t>ĐX (bổ sung)</t>
        </is>
      </c>
    </row>
    <row r="230">
      <c r="A230" s="26" t="inlineStr">
        <is>
          <t>CAT</t>
        </is>
      </c>
      <c r="B230" s="27" t="inlineStr">
        <is>
          <t>ThongTinSpa</t>
        </is>
      </c>
      <c r="C230" s="27" t="inlineStr">
        <is>
          <t>SDT</t>
        </is>
      </c>
      <c r="D230" s="26" t="inlineStr">
        <is>
          <t>STRING</t>
        </is>
      </c>
      <c r="E230" s="27" t="inlineStr">
        <is>
          <t>varchar(15)</t>
        </is>
      </c>
      <c r="F230" s="27" t="inlineStr">
        <is>
          <t>Cho phép null</t>
        </is>
      </c>
      <c r="G230" s="27" t="inlineStr"/>
      <c r="H230" s="26" t="inlineStr">
        <is>
          <t>ĐX (bổ sung)</t>
        </is>
      </c>
    </row>
    <row r="231">
      <c r="A231" s="24" t="inlineStr">
        <is>
          <t>CAT</t>
        </is>
      </c>
      <c r="B231" s="25" t="inlineStr">
        <is>
          <t>ThongTinSpa</t>
        </is>
      </c>
      <c r="C231" s="25" t="inlineStr">
        <is>
          <t>GioMoCua</t>
        </is>
      </c>
      <c r="D231" s="24" t="inlineStr">
        <is>
          <t>JSONB</t>
        </is>
      </c>
      <c r="E231" s="25" t="inlineStr">
        <is>
          <t>jsonb</t>
        </is>
      </c>
      <c r="F231" s="25" t="inlineStr">
        <is>
          <t>Cho phép null</t>
        </is>
      </c>
      <c r="G231" s="25" t="inlineStr">
        <is>
          <t>Giờ mở cửa theo thứ</t>
        </is>
      </c>
      <c r="H231" s="24" t="inlineStr">
        <is>
          <t>ĐX (bổ sung)</t>
        </is>
      </c>
    </row>
    <row r="232">
      <c r="A232" s="26" t="inlineStr">
        <is>
          <t>CAT</t>
        </is>
      </c>
      <c r="B232" s="27" t="inlineStr">
        <is>
          <t>ThongTinSpa</t>
        </is>
      </c>
      <c r="C232" s="27" t="inlineStr">
        <is>
          <t>ChinhSach</t>
        </is>
      </c>
      <c r="D232" s="26" t="inlineStr">
        <is>
          <t>JSONB</t>
        </is>
      </c>
      <c r="E232" s="27" t="inlineStr">
        <is>
          <t>jsonb</t>
        </is>
      </c>
      <c r="F232" s="27" t="inlineStr">
        <is>
          <t>Cho phép null</t>
        </is>
      </c>
      <c r="G232" s="27" t="inlineStr">
        <is>
          <t>Thời gian giữ chỗ, hạn đổi/hủy lịch…</t>
        </is>
      </c>
      <c r="H232" s="26" t="inlineStr">
        <is>
          <t>ĐX (bổ sung)</t>
        </is>
      </c>
    </row>
  </sheetData>
  <autoFilter ref="A4:H232"/>
  <mergeCells count="3">
    <mergeCell ref="A3:H3"/>
    <mergeCell ref="A2:H2"/>
    <mergeCell ref="A1:H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46"/>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2" customWidth="1" min="3" max="3"/>
    <col width="14" customWidth="1" min="4" max="4"/>
    <col width="12" customWidth="1" min="5" max="5"/>
    <col width="16" customWidth="1" min="6" max="6"/>
    <col width="12" customWidth="1" min="7" max="7"/>
  </cols>
  <sheetData>
    <row r="1" ht="26" customHeight="1">
      <c r="A1" s="1" t="inlineStr">
        <is>
          <t>19 · QUAN HỆ KHÓA NGOẠI</t>
        </is>
      </c>
    </row>
    <row r="2">
      <c r="A2" s="2" t="inlineStr">
        <is>
          <t>42 quan hệ (trích từ cột Ràng buộc của DA)</t>
        </is>
      </c>
    </row>
    <row r="3" ht="30" customHeight="1">
      <c r="A3" s="3" t="inlineStr">
        <is>
          <t>Hành vi xóa là đề xuất: RESTRICT để giữ lịch sử, CASCADE cho chi tiết giỏ hàng.</t>
        </is>
      </c>
    </row>
    <row r="4" ht="32" customHeight="1">
      <c r="A4" s="4" t="inlineStr">
        <is>
          <t>Bảng con</t>
        </is>
      </c>
      <c r="B4" s="4" t="inlineStr">
        <is>
          <t>Thuộc tính FK</t>
        </is>
      </c>
      <c r="C4" s="4" t="inlineStr">
        <is>
          <t>Bảng cha</t>
        </is>
      </c>
      <c r="D4" s="4" t="inlineStr">
        <is>
          <t>Khóa cha</t>
        </is>
      </c>
      <c r="E4" s="4" t="inlineStr">
        <is>
          <t>Cho phép null</t>
        </is>
      </c>
      <c r="F4" s="4" t="inlineStr">
        <is>
          <t>Hành vi xóa (ĐX)</t>
        </is>
      </c>
      <c r="G4" s="4" t="inlineStr">
        <is>
          <t>Nguồn</t>
        </is>
      </c>
    </row>
    <row r="5">
      <c r="A5" s="25" t="inlineStr">
        <is>
          <t>ChuSpa</t>
        </is>
      </c>
      <c r="B5" s="25" t="inlineStr">
        <is>
          <t>MaNguoiDung</t>
        </is>
      </c>
      <c r="C5" s="25" t="inlineStr">
        <is>
          <t>NguoiDung</t>
        </is>
      </c>
      <c r="D5" s="25" t="inlineStr">
        <is>
          <t>MaNguoiDung</t>
        </is>
      </c>
      <c r="E5" s="24" t="inlineStr">
        <is>
          <t>Không</t>
        </is>
      </c>
      <c r="F5" s="24" t="inlineStr">
        <is>
          <t>RESTRICT</t>
        </is>
      </c>
      <c r="G5" s="24" t="inlineStr">
        <is>
          <t>DA</t>
        </is>
      </c>
    </row>
    <row r="6">
      <c r="A6" s="27" t="inlineStr">
        <is>
          <t>KhachHang</t>
        </is>
      </c>
      <c r="B6" s="27" t="inlineStr">
        <is>
          <t>MaNguoiDung</t>
        </is>
      </c>
      <c r="C6" s="27" t="inlineStr">
        <is>
          <t>NguoiDung</t>
        </is>
      </c>
      <c r="D6" s="27" t="inlineStr">
        <is>
          <t>MaNguoiDung</t>
        </is>
      </c>
      <c r="E6" s="26" t="inlineStr">
        <is>
          <t>Không</t>
        </is>
      </c>
      <c r="F6" s="26" t="inlineStr">
        <is>
          <t>RESTRICT</t>
        </is>
      </c>
      <c r="G6" s="26" t="inlineStr">
        <is>
          <t>DA</t>
        </is>
      </c>
    </row>
    <row r="7">
      <c r="A7" s="25" t="inlineStr">
        <is>
          <t>NhanVien</t>
        </is>
      </c>
      <c r="B7" s="25" t="inlineStr">
        <is>
          <t>MaNguoiDung</t>
        </is>
      </c>
      <c r="C7" s="25" t="inlineStr">
        <is>
          <t>NguoiDung</t>
        </is>
      </c>
      <c r="D7" s="25" t="inlineStr">
        <is>
          <t>MaNguoiDung</t>
        </is>
      </c>
      <c r="E7" s="24" t="inlineStr">
        <is>
          <t>Không</t>
        </is>
      </c>
      <c r="F7" s="24" t="inlineStr">
        <is>
          <t>RESTRICT</t>
        </is>
      </c>
      <c r="G7" s="24" t="inlineStr">
        <is>
          <t>DA</t>
        </is>
      </c>
    </row>
    <row r="8">
      <c r="A8" s="27" t="inlineStr">
        <is>
          <t>GoiDichVuChiTiet</t>
        </is>
      </c>
      <c r="B8" s="27" t="inlineStr">
        <is>
          <t>IdDichVu</t>
        </is>
      </c>
      <c r="C8" s="27" t="inlineStr">
        <is>
          <t>DichVu</t>
        </is>
      </c>
      <c r="D8" s="27" t="inlineStr">
        <is>
          <t>Id</t>
        </is>
      </c>
      <c r="E8" s="26" t="inlineStr">
        <is>
          <t>Không</t>
        </is>
      </c>
      <c r="F8" s="26" t="inlineStr">
        <is>
          <t>RESTRICT</t>
        </is>
      </c>
      <c r="G8" s="26" t="inlineStr">
        <is>
          <t>DA</t>
        </is>
      </c>
    </row>
    <row r="9">
      <c r="A9" s="25" t="inlineStr">
        <is>
          <t>GoiDichVuChiTiet</t>
        </is>
      </c>
      <c r="B9" s="25" t="inlineStr">
        <is>
          <t>IdGoiDichVu</t>
        </is>
      </c>
      <c r="C9" s="25" t="inlineStr">
        <is>
          <t>GoiDichVu</t>
        </is>
      </c>
      <c r="D9" s="25" t="inlineStr">
        <is>
          <t>Id</t>
        </is>
      </c>
      <c r="E9" s="24" t="inlineStr">
        <is>
          <t>Không</t>
        </is>
      </c>
      <c r="F9" s="24" t="inlineStr">
        <is>
          <t>RESTRICT</t>
        </is>
      </c>
      <c r="G9" s="24" t="inlineStr">
        <is>
          <t>DA</t>
        </is>
      </c>
    </row>
    <row r="10">
      <c r="A10" s="27" t="inlineStr">
        <is>
          <t>NhanVien_DichVu</t>
        </is>
      </c>
      <c r="B10" s="27" t="inlineStr">
        <is>
          <t>IdNhanVien</t>
        </is>
      </c>
      <c r="C10" s="27" t="inlineStr">
        <is>
          <t>NhanVien</t>
        </is>
      </c>
      <c r="D10" s="27" t="inlineStr">
        <is>
          <t>MaNguoiDung</t>
        </is>
      </c>
      <c r="E10" s="26" t="inlineStr">
        <is>
          <t>Không</t>
        </is>
      </c>
      <c r="F10" s="26" t="inlineStr">
        <is>
          <t>RESTRICT</t>
        </is>
      </c>
      <c r="G10" s="26" t="inlineStr">
        <is>
          <t>DA</t>
        </is>
      </c>
    </row>
    <row r="11">
      <c r="A11" s="25" t="inlineStr">
        <is>
          <t>NhanVien_DichVu</t>
        </is>
      </c>
      <c r="B11" s="25" t="inlineStr">
        <is>
          <t>IdDichVu</t>
        </is>
      </c>
      <c r="C11" s="25" t="inlineStr">
        <is>
          <t>DichVu</t>
        </is>
      </c>
      <c r="D11" s="25" t="inlineStr">
        <is>
          <t>Id</t>
        </is>
      </c>
      <c r="E11" s="24" t="inlineStr">
        <is>
          <t>Không</t>
        </is>
      </c>
      <c r="F11" s="24" t="inlineStr">
        <is>
          <t>RESTRICT</t>
        </is>
      </c>
      <c r="G11" s="24" t="inlineStr">
        <is>
          <t>DA</t>
        </is>
      </c>
    </row>
    <row r="12">
      <c r="A12" s="27" t="inlineStr">
        <is>
          <t>LichLamViec</t>
        </is>
      </c>
      <c r="B12" s="27" t="inlineStr">
        <is>
          <t>IdNhanVien</t>
        </is>
      </c>
      <c r="C12" s="27" t="inlineStr">
        <is>
          <t>NhanVien</t>
        </is>
      </c>
      <c r="D12" s="27" t="inlineStr">
        <is>
          <t>MaNguoiDung</t>
        </is>
      </c>
      <c r="E12" s="26" t="inlineStr">
        <is>
          <t>Không</t>
        </is>
      </c>
      <c r="F12" s="26" t="inlineStr">
        <is>
          <t>RESTRICT</t>
        </is>
      </c>
      <c r="G12" s="26" t="inlineStr">
        <is>
          <t>DA</t>
        </is>
      </c>
    </row>
    <row r="13">
      <c r="A13" s="25" t="inlineStr">
        <is>
          <t>GioHang</t>
        </is>
      </c>
      <c r="B13" s="25" t="inlineStr">
        <is>
          <t>IdKhachHang</t>
        </is>
      </c>
      <c r="C13" s="25" t="inlineStr">
        <is>
          <t>KhachHang</t>
        </is>
      </c>
      <c r="D13" s="25" t="inlineStr">
        <is>
          <t>MaNguoiDung</t>
        </is>
      </c>
      <c r="E13" s="24" t="inlineStr">
        <is>
          <t>Không</t>
        </is>
      </c>
      <c r="F13" s="24" t="inlineStr">
        <is>
          <t>RESTRICT</t>
        </is>
      </c>
      <c r="G13" s="24" t="inlineStr">
        <is>
          <t>DA</t>
        </is>
      </c>
    </row>
    <row r="14">
      <c r="A14" s="27" t="inlineStr">
        <is>
          <t>ChiTietGioHang</t>
        </is>
      </c>
      <c r="B14" s="27" t="inlineStr">
        <is>
          <t>IdGioHang</t>
        </is>
      </c>
      <c r="C14" s="27" t="inlineStr">
        <is>
          <t>GioHang</t>
        </is>
      </c>
      <c r="D14" s="27" t="inlineStr">
        <is>
          <t>Id</t>
        </is>
      </c>
      <c r="E14" s="26" t="inlineStr">
        <is>
          <t>Không</t>
        </is>
      </c>
      <c r="F14" s="26" t="inlineStr">
        <is>
          <t>CASCADE</t>
        </is>
      </c>
      <c r="G14" s="26" t="inlineStr">
        <is>
          <t>DA</t>
        </is>
      </c>
    </row>
    <row r="15">
      <c r="A15" s="25" t="inlineStr">
        <is>
          <t>ChiTietGioHang</t>
        </is>
      </c>
      <c r="B15" s="25" t="inlineStr">
        <is>
          <t>IdDichVu</t>
        </is>
      </c>
      <c r="C15" s="25" t="inlineStr">
        <is>
          <t>DichVu</t>
        </is>
      </c>
      <c r="D15" s="25" t="inlineStr">
        <is>
          <t>Id</t>
        </is>
      </c>
      <c r="E15" s="24" t="inlineStr">
        <is>
          <t>Có</t>
        </is>
      </c>
      <c r="F15" s="24" t="inlineStr">
        <is>
          <t>RESTRICT</t>
        </is>
      </c>
      <c r="G15" s="24" t="inlineStr">
        <is>
          <t>DA</t>
        </is>
      </c>
    </row>
    <row r="16">
      <c r="A16" s="27" t="inlineStr">
        <is>
          <t>ChiTietGioHang</t>
        </is>
      </c>
      <c r="B16" s="27" t="inlineStr">
        <is>
          <t>IdGoiDichVu</t>
        </is>
      </c>
      <c r="C16" s="27" t="inlineStr">
        <is>
          <t>GoiDichVu</t>
        </is>
      </c>
      <c r="D16" s="27" t="inlineStr">
        <is>
          <t>Id</t>
        </is>
      </c>
      <c r="E16" s="26" t="inlineStr">
        <is>
          <t>Có</t>
        </is>
      </c>
      <c r="F16" s="26" t="inlineStr">
        <is>
          <t>RESTRICT</t>
        </is>
      </c>
      <c r="G16" s="26" t="inlineStr">
        <is>
          <t>DA</t>
        </is>
      </c>
    </row>
    <row r="17">
      <c r="A17" s="25" t="inlineStr">
        <is>
          <t>DonHang</t>
        </is>
      </c>
      <c r="B17" s="25" t="inlineStr">
        <is>
          <t>IdKhachHang</t>
        </is>
      </c>
      <c r="C17" s="25" t="inlineStr">
        <is>
          <t>KhachHang</t>
        </is>
      </c>
      <c r="D17" s="25" t="inlineStr">
        <is>
          <t>MaNguoiDung</t>
        </is>
      </c>
      <c r="E17" s="24" t="inlineStr">
        <is>
          <t>Không</t>
        </is>
      </c>
      <c r="F17" s="24" t="inlineStr">
        <is>
          <t>RESTRICT</t>
        </is>
      </c>
      <c r="G17" s="24" t="inlineStr">
        <is>
          <t>DA</t>
        </is>
      </c>
    </row>
    <row r="18">
      <c r="A18" s="27" t="inlineStr">
        <is>
          <t>ChiTietDonHang</t>
        </is>
      </c>
      <c r="B18" s="27" t="inlineStr">
        <is>
          <t>IdDonHang</t>
        </is>
      </c>
      <c r="C18" s="27" t="inlineStr">
        <is>
          <t>DonHang</t>
        </is>
      </c>
      <c r="D18" s="27" t="inlineStr">
        <is>
          <t>Id</t>
        </is>
      </c>
      <c r="E18" s="26" t="inlineStr">
        <is>
          <t>Không</t>
        </is>
      </c>
      <c r="F18" s="26" t="inlineStr">
        <is>
          <t>RESTRICT</t>
        </is>
      </c>
      <c r="G18" s="26" t="inlineStr">
        <is>
          <t>DA</t>
        </is>
      </c>
    </row>
    <row r="19">
      <c r="A19" s="25" t="inlineStr">
        <is>
          <t>ChiTietDonHang</t>
        </is>
      </c>
      <c r="B19" s="25" t="inlineStr">
        <is>
          <t>IdDichVu</t>
        </is>
      </c>
      <c r="C19" s="25" t="inlineStr">
        <is>
          <t>DichVu</t>
        </is>
      </c>
      <c r="D19" s="25" t="inlineStr">
        <is>
          <t>Id</t>
        </is>
      </c>
      <c r="E19" s="24" t="inlineStr">
        <is>
          <t>Có</t>
        </is>
      </c>
      <c r="F19" s="24" t="inlineStr">
        <is>
          <t>RESTRICT</t>
        </is>
      </c>
      <c r="G19" s="24" t="inlineStr">
        <is>
          <t>DA</t>
        </is>
      </c>
    </row>
    <row r="20">
      <c r="A20" s="27" t="inlineStr">
        <is>
          <t>ChiTietDonHang</t>
        </is>
      </c>
      <c r="B20" s="27" t="inlineStr">
        <is>
          <t>IdGoiDichVu</t>
        </is>
      </c>
      <c r="C20" s="27" t="inlineStr">
        <is>
          <t>GoiDichVu</t>
        </is>
      </c>
      <c r="D20" s="27" t="inlineStr">
        <is>
          <t>Id</t>
        </is>
      </c>
      <c r="E20" s="26" t="inlineStr">
        <is>
          <t>Có</t>
        </is>
      </c>
      <c r="F20" s="26" t="inlineStr">
        <is>
          <t>RESTRICT</t>
        </is>
      </c>
      <c r="G20" s="26" t="inlineStr">
        <is>
          <t>DA</t>
        </is>
      </c>
    </row>
    <row r="21">
      <c r="A21" s="25" t="inlineStr">
        <is>
          <t>ThanhToan</t>
        </is>
      </c>
      <c r="B21" s="25" t="inlineStr">
        <is>
          <t>IdDonHang</t>
        </is>
      </c>
      <c r="C21" s="25" t="inlineStr">
        <is>
          <t>DonHang</t>
        </is>
      </c>
      <c r="D21" s="25" t="inlineStr">
        <is>
          <t>Id</t>
        </is>
      </c>
      <c r="E21" s="24" t="inlineStr">
        <is>
          <t>Không</t>
        </is>
      </c>
      <c r="F21" s="24" t="inlineStr">
        <is>
          <t>RESTRICT</t>
        </is>
      </c>
      <c r="G21" s="24" t="inlineStr">
        <is>
          <t>DA</t>
        </is>
      </c>
    </row>
    <row r="22">
      <c r="A22" s="27" t="inlineStr">
        <is>
          <t>ApDungKhuyenMai</t>
        </is>
      </c>
      <c r="B22" s="27" t="inlineStr">
        <is>
          <t>IdDonHang</t>
        </is>
      </c>
      <c r="C22" s="27" t="inlineStr">
        <is>
          <t>DonHang</t>
        </is>
      </c>
      <c r="D22" s="27" t="inlineStr">
        <is>
          <t>Id</t>
        </is>
      </c>
      <c r="E22" s="26" t="inlineStr">
        <is>
          <t>Không</t>
        </is>
      </c>
      <c r="F22" s="26" t="inlineStr">
        <is>
          <t>RESTRICT</t>
        </is>
      </c>
      <c r="G22" s="26" t="inlineStr">
        <is>
          <t>DA</t>
        </is>
      </c>
    </row>
    <row r="23">
      <c r="A23" s="25" t="inlineStr">
        <is>
          <t>ApDungKhuyenMai</t>
        </is>
      </c>
      <c r="B23" s="25" t="inlineStr">
        <is>
          <t>IdKhuyenMai</t>
        </is>
      </c>
      <c r="C23" s="25" t="inlineStr">
        <is>
          <t>KhuyenMai</t>
        </is>
      </c>
      <c r="D23" s="25" t="inlineStr">
        <is>
          <t>Id</t>
        </is>
      </c>
      <c r="E23" s="24" t="inlineStr">
        <is>
          <t>Không</t>
        </is>
      </c>
      <c r="F23" s="24" t="inlineStr">
        <is>
          <t>RESTRICT</t>
        </is>
      </c>
      <c r="G23" s="24" t="inlineStr">
        <is>
          <t>DA</t>
        </is>
      </c>
    </row>
    <row r="24">
      <c r="A24" s="27" t="inlineStr">
        <is>
          <t>DichVuKhachHang</t>
        </is>
      </c>
      <c r="B24" s="27" t="inlineStr">
        <is>
          <t>IdKhachHang</t>
        </is>
      </c>
      <c r="C24" s="27" t="inlineStr">
        <is>
          <t>KhachHang</t>
        </is>
      </c>
      <c r="D24" s="27" t="inlineStr">
        <is>
          <t>MaNguoiDung</t>
        </is>
      </c>
      <c r="E24" s="26" t="inlineStr">
        <is>
          <t>Không</t>
        </is>
      </c>
      <c r="F24" s="26" t="inlineStr">
        <is>
          <t>RESTRICT</t>
        </is>
      </c>
      <c r="G24" s="26" t="inlineStr">
        <is>
          <t>DA</t>
        </is>
      </c>
    </row>
    <row r="25">
      <c r="A25" s="25" t="inlineStr">
        <is>
          <t>DichVuKhachHang</t>
        </is>
      </c>
      <c r="B25" s="25" t="inlineStr">
        <is>
          <t>IdChiTietDonHang</t>
        </is>
      </c>
      <c r="C25" s="25" t="inlineStr">
        <is>
          <t>ChiTietDonHang</t>
        </is>
      </c>
      <c r="D25" s="25" t="inlineStr">
        <is>
          <t>Id</t>
        </is>
      </c>
      <c r="E25" s="24" t="inlineStr">
        <is>
          <t>Không</t>
        </is>
      </c>
      <c r="F25" s="24" t="inlineStr">
        <is>
          <t>RESTRICT</t>
        </is>
      </c>
      <c r="G25" s="24" t="inlineStr">
        <is>
          <t>DA</t>
        </is>
      </c>
    </row>
    <row r="26">
      <c r="A26" s="27" t="inlineStr">
        <is>
          <t>GoiKhachHang</t>
        </is>
      </c>
      <c r="B26" s="27" t="inlineStr">
        <is>
          <t>IdKhachHang</t>
        </is>
      </c>
      <c r="C26" s="27" t="inlineStr">
        <is>
          <t>KhachHang</t>
        </is>
      </c>
      <c r="D26" s="27" t="inlineStr">
        <is>
          <t>MaNguoiDung</t>
        </is>
      </c>
      <c r="E26" s="26" t="inlineStr">
        <is>
          <t>Không</t>
        </is>
      </c>
      <c r="F26" s="26" t="inlineStr">
        <is>
          <t>RESTRICT</t>
        </is>
      </c>
      <c r="G26" s="26" t="inlineStr">
        <is>
          <t>DA</t>
        </is>
      </c>
    </row>
    <row r="27">
      <c r="A27" s="25" t="inlineStr">
        <is>
          <t>GoiKhachHang</t>
        </is>
      </c>
      <c r="B27" s="25" t="inlineStr">
        <is>
          <t>IdChiTietDonHang</t>
        </is>
      </c>
      <c r="C27" s="25" t="inlineStr">
        <is>
          <t>ChiTietDonHang</t>
        </is>
      </c>
      <c r="D27" s="25" t="inlineStr">
        <is>
          <t>Id</t>
        </is>
      </c>
      <c r="E27" s="24" t="inlineStr">
        <is>
          <t>Không</t>
        </is>
      </c>
      <c r="F27" s="24" t="inlineStr">
        <is>
          <t>RESTRICT</t>
        </is>
      </c>
      <c r="G27" s="24" t="inlineStr">
        <is>
          <t>DA</t>
        </is>
      </c>
    </row>
    <row r="28">
      <c r="A28" s="27" t="inlineStr">
        <is>
          <t>LieuTrinh</t>
        </is>
      </c>
      <c r="B28" s="27" t="inlineStr">
        <is>
          <t>IdGoiKhachHang</t>
        </is>
      </c>
      <c r="C28" s="27" t="inlineStr">
        <is>
          <t>GoiKhachHang</t>
        </is>
      </c>
      <c r="D28" s="27" t="inlineStr">
        <is>
          <t>Id</t>
        </is>
      </c>
      <c r="E28" s="26" t="inlineStr">
        <is>
          <t>Không</t>
        </is>
      </c>
      <c r="F28" s="26" t="inlineStr">
        <is>
          <t>RESTRICT</t>
        </is>
      </c>
      <c r="G28" s="26" t="inlineStr">
        <is>
          <t>DA</t>
        </is>
      </c>
    </row>
    <row r="29">
      <c r="A29" s="25" t="inlineStr">
        <is>
          <t>LieuTrinh</t>
        </is>
      </c>
      <c r="B29" s="25" t="inlineStr">
        <is>
          <t>IdNhanVienPhuTrach</t>
        </is>
      </c>
      <c r="C29" s="25" t="inlineStr">
        <is>
          <t>NhanVien</t>
        </is>
      </c>
      <c r="D29" s="25" t="inlineStr">
        <is>
          <t>MaNguoiDung</t>
        </is>
      </c>
      <c r="E29" s="24" t="inlineStr">
        <is>
          <t>Có</t>
        </is>
      </c>
      <c r="F29" s="24" t="inlineStr">
        <is>
          <t>RESTRICT</t>
        </is>
      </c>
      <c r="G29" s="24" t="inlineStr">
        <is>
          <t>DA</t>
        </is>
      </c>
    </row>
    <row r="30">
      <c r="A30" s="27" t="inlineStr">
        <is>
          <t>BuoiChamSoc</t>
        </is>
      </c>
      <c r="B30" s="27" t="inlineStr">
        <is>
          <t>IdLieuTrinh</t>
        </is>
      </c>
      <c r="C30" s="27" t="inlineStr">
        <is>
          <t>LieuTrinh</t>
        </is>
      </c>
      <c r="D30" s="27" t="inlineStr">
        <is>
          <t>Id</t>
        </is>
      </c>
      <c r="E30" s="26" t="inlineStr">
        <is>
          <t>Không</t>
        </is>
      </c>
      <c r="F30" s="26" t="inlineStr">
        <is>
          <t>RESTRICT</t>
        </is>
      </c>
      <c r="G30" s="26" t="inlineStr">
        <is>
          <t>DA</t>
        </is>
      </c>
    </row>
    <row r="31">
      <c r="A31" s="25" t="inlineStr">
        <is>
          <t>BuoiChamSoc</t>
        </is>
      </c>
      <c r="B31" s="25" t="inlineStr">
        <is>
          <t>IdDichVu</t>
        </is>
      </c>
      <c r="C31" s="25" t="inlineStr">
        <is>
          <t>DichVu</t>
        </is>
      </c>
      <c r="D31" s="25" t="inlineStr">
        <is>
          <t>Id</t>
        </is>
      </c>
      <c r="E31" s="24" t="inlineStr">
        <is>
          <t>Không</t>
        </is>
      </c>
      <c r="F31" s="24" t="inlineStr">
        <is>
          <t>RESTRICT</t>
        </is>
      </c>
      <c r="G31" s="24" t="inlineStr">
        <is>
          <t>DA</t>
        </is>
      </c>
    </row>
    <row r="32">
      <c r="A32" s="27" t="inlineStr">
        <is>
          <t>LichHen</t>
        </is>
      </c>
      <c r="B32" s="27" t="inlineStr">
        <is>
          <t>IdKhachHang</t>
        </is>
      </c>
      <c r="C32" s="27" t="inlineStr">
        <is>
          <t>KhachHang</t>
        </is>
      </c>
      <c r="D32" s="27" t="inlineStr">
        <is>
          <t>MaNguoiDung</t>
        </is>
      </c>
      <c r="E32" s="26" t="inlineStr">
        <is>
          <t>Không</t>
        </is>
      </c>
      <c r="F32" s="26" t="inlineStr">
        <is>
          <t>RESTRICT</t>
        </is>
      </c>
      <c r="G32" s="26" t="inlineStr">
        <is>
          <t>DA</t>
        </is>
      </c>
    </row>
    <row r="33">
      <c r="A33" s="25" t="inlineStr">
        <is>
          <t>LichHen</t>
        </is>
      </c>
      <c r="B33" s="25" t="inlineStr">
        <is>
          <t>IdNhanVien</t>
        </is>
      </c>
      <c r="C33" s="25" t="inlineStr">
        <is>
          <t>NhanVien</t>
        </is>
      </c>
      <c r="D33" s="25" t="inlineStr">
        <is>
          <t>MaNguoiDung</t>
        </is>
      </c>
      <c r="E33" s="24" t="inlineStr">
        <is>
          <t>Không</t>
        </is>
      </c>
      <c r="F33" s="24" t="inlineStr">
        <is>
          <t>RESTRICT</t>
        </is>
      </c>
      <c r="G33" s="24" t="inlineStr">
        <is>
          <t>DA</t>
        </is>
      </c>
    </row>
    <row r="34">
      <c r="A34" s="27" t="inlineStr">
        <is>
          <t>LichHen</t>
        </is>
      </c>
      <c r="B34" s="27" t="inlineStr">
        <is>
          <t>IdDichVuKhachHang</t>
        </is>
      </c>
      <c r="C34" s="27" t="inlineStr">
        <is>
          <t>DichVuKhachHang</t>
        </is>
      </c>
      <c r="D34" s="27" t="inlineStr">
        <is>
          <t>Id</t>
        </is>
      </c>
      <c r="E34" s="26" t="inlineStr">
        <is>
          <t>Có</t>
        </is>
      </c>
      <c r="F34" s="26" t="inlineStr">
        <is>
          <t>RESTRICT</t>
        </is>
      </c>
      <c r="G34" s="26" t="inlineStr">
        <is>
          <t>DA</t>
        </is>
      </c>
    </row>
    <row r="35">
      <c r="A35" s="25" t="inlineStr">
        <is>
          <t>LichHen</t>
        </is>
      </c>
      <c r="B35" s="25" t="inlineStr">
        <is>
          <t>IdBuoiChamSoc</t>
        </is>
      </c>
      <c r="C35" s="25" t="inlineStr">
        <is>
          <t>BuoiChamSoc</t>
        </is>
      </c>
      <c r="D35" s="25" t="inlineStr">
        <is>
          <t>Id</t>
        </is>
      </c>
      <c r="E35" s="24" t="inlineStr">
        <is>
          <t>Có</t>
        </is>
      </c>
      <c r="F35" s="24" t="inlineStr">
        <is>
          <t>RESTRICT</t>
        </is>
      </c>
      <c r="G35" s="24" t="inlineStr">
        <is>
          <t>DA</t>
        </is>
      </c>
    </row>
    <row r="36">
      <c r="A36" s="27" t="inlineStr">
        <is>
          <t>LichHen</t>
        </is>
      </c>
      <c r="B36" s="27" t="inlineStr">
        <is>
          <t>IdChiTietDonHang</t>
        </is>
      </c>
      <c r="C36" s="27" t="inlineStr">
        <is>
          <t>ChiTietDonHang</t>
        </is>
      </c>
      <c r="D36" s="27" t="inlineStr">
        <is>
          <t>Id</t>
        </is>
      </c>
      <c r="E36" s="26" t="inlineStr">
        <is>
          <t>Có</t>
        </is>
      </c>
      <c r="F36" s="26" t="inlineStr">
        <is>
          <t>RESTRICT</t>
        </is>
      </c>
      <c r="G36" s="26" t="inlineStr">
        <is>
          <t>DA</t>
        </is>
      </c>
    </row>
    <row r="37">
      <c r="A37" s="25" t="inlineStr">
        <is>
          <t>HoSoDa</t>
        </is>
      </c>
      <c r="B37" s="25" t="inlineStr">
        <is>
          <t>IdKhachHang</t>
        </is>
      </c>
      <c r="C37" s="25" t="inlineStr">
        <is>
          <t>KhachHang</t>
        </is>
      </c>
      <c r="D37" s="25" t="inlineStr">
        <is>
          <t>MaNguoiDung</t>
        </is>
      </c>
      <c r="E37" s="24" t="inlineStr">
        <is>
          <t>Không</t>
        </is>
      </c>
      <c r="F37" s="24" t="inlineStr">
        <is>
          <t>RESTRICT</t>
        </is>
      </c>
      <c r="G37" s="24" t="inlineStr">
        <is>
          <t>DA</t>
        </is>
      </c>
    </row>
    <row r="38">
      <c r="A38" s="27" t="inlineStr">
        <is>
          <t>HoSoDa</t>
        </is>
      </c>
      <c r="B38" s="27" t="inlineStr">
        <is>
          <t>IdNhanVienDanhGia</t>
        </is>
      </c>
      <c r="C38" s="27" t="inlineStr">
        <is>
          <t>NhanVien</t>
        </is>
      </c>
      <c r="D38" s="27" t="inlineStr">
        <is>
          <t>MaNguoiDung</t>
        </is>
      </c>
      <c r="E38" s="26" t="inlineStr">
        <is>
          <t>Không</t>
        </is>
      </c>
      <c r="F38" s="26" t="inlineStr">
        <is>
          <t>RESTRICT</t>
        </is>
      </c>
      <c r="G38" s="26" t="inlineStr">
        <is>
          <t>DA</t>
        </is>
      </c>
    </row>
    <row r="39">
      <c r="A39" s="25" t="inlineStr">
        <is>
          <t>HoSoDa</t>
        </is>
      </c>
      <c r="B39" s="25" t="inlineStr">
        <is>
          <t>IdLichHen</t>
        </is>
      </c>
      <c r="C39" s="25" t="inlineStr">
        <is>
          <t>LichHen</t>
        </is>
      </c>
      <c r="D39" s="25" t="inlineStr">
        <is>
          <t>Id</t>
        </is>
      </c>
      <c r="E39" s="24" t="inlineStr">
        <is>
          <t>Không</t>
        </is>
      </c>
      <c r="F39" s="24" t="inlineStr">
        <is>
          <t>RESTRICT</t>
        </is>
      </c>
      <c r="G39" s="24" t="inlineStr">
        <is>
          <t>DA</t>
        </is>
      </c>
    </row>
    <row r="40">
      <c r="A40" s="27" t="inlineStr">
        <is>
          <t>DiUngKhachHang</t>
        </is>
      </c>
      <c r="B40" s="27" t="inlineStr">
        <is>
          <t>IdKhachHang</t>
        </is>
      </c>
      <c r="C40" s="27" t="inlineStr">
        <is>
          <t>KhachHang</t>
        </is>
      </c>
      <c r="D40" s="27" t="inlineStr">
        <is>
          <t>MaNguoiDung</t>
        </is>
      </c>
      <c r="E40" s="26" t="inlineStr">
        <is>
          <t>Không</t>
        </is>
      </c>
      <c r="F40" s="26" t="inlineStr">
        <is>
          <t>RESTRICT</t>
        </is>
      </c>
      <c r="G40" s="26" t="inlineStr">
        <is>
          <t>DA</t>
        </is>
      </c>
    </row>
    <row r="41">
      <c r="A41" s="25" t="inlineStr">
        <is>
          <t>DanhGia</t>
        </is>
      </c>
      <c r="B41" s="25" t="inlineStr">
        <is>
          <t>IdKhachHang</t>
        </is>
      </c>
      <c r="C41" s="25" t="inlineStr">
        <is>
          <t>KhachHang</t>
        </is>
      </c>
      <c r="D41" s="25" t="inlineStr">
        <is>
          <t>MaNguoiDung</t>
        </is>
      </c>
      <c r="E41" s="24" t="inlineStr">
        <is>
          <t>Không</t>
        </is>
      </c>
      <c r="F41" s="24" t="inlineStr">
        <is>
          <t>RESTRICT</t>
        </is>
      </c>
      <c r="G41" s="24" t="inlineStr">
        <is>
          <t>DA</t>
        </is>
      </c>
    </row>
    <row r="42">
      <c r="A42" s="27" t="inlineStr">
        <is>
          <t>DanhGia</t>
        </is>
      </c>
      <c r="B42" s="27" t="inlineStr">
        <is>
          <t>IdDichVu</t>
        </is>
      </c>
      <c r="C42" s="27" t="inlineStr">
        <is>
          <t>DichVu</t>
        </is>
      </c>
      <c r="D42" s="27" t="inlineStr">
        <is>
          <t>Id</t>
        </is>
      </c>
      <c r="E42" s="26" t="inlineStr">
        <is>
          <t>Có</t>
        </is>
      </c>
      <c r="F42" s="26" t="inlineStr">
        <is>
          <t>RESTRICT</t>
        </is>
      </c>
      <c r="G42" s="26" t="inlineStr">
        <is>
          <t>DA</t>
        </is>
      </c>
    </row>
    <row r="43">
      <c r="A43" s="25" t="inlineStr">
        <is>
          <t>DanhGia</t>
        </is>
      </c>
      <c r="B43" s="25" t="inlineStr">
        <is>
          <t>IdGoiDichVu</t>
        </is>
      </c>
      <c r="C43" s="25" t="inlineStr">
        <is>
          <t>GoiDichVu</t>
        </is>
      </c>
      <c r="D43" s="25" t="inlineStr">
        <is>
          <t>Id</t>
        </is>
      </c>
      <c r="E43" s="24" t="inlineStr">
        <is>
          <t>Có</t>
        </is>
      </c>
      <c r="F43" s="24" t="inlineStr">
        <is>
          <t>RESTRICT</t>
        </is>
      </c>
      <c r="G43" s="24" t="inlineStr">
        <is>
          <t>DA</t>
        </is>
      </c>
    </row>
    <row r="44">
      <c r="A44" s="27" t="inlineStr">
        <is>
          <t>LichSuTroChuyenAI</t>
        </is>
      </c>
      <c r="B44" s="27" t="inlineStr">
        <is>
          <t>IdKhachHang</t>
        </is>
      </c>
      <c r="C44" s="27" t="inlineStr">
        <is>
          <t>KhachHang</t>
        </is>
      </c>
      <c r="D44" s="27" t="inlineStr">
        <is>
          <t>MaNguoiDung</t>
        </is>
      </c>
      <c r="E44" s="26" t="inlineStr">
        <is>
          <t>Không</t>
        </is>
      </c>
      <c r="F44" s="26" t="inlineStr">
        <is>
          <t>RESTRICT</t>
        </is>
      </c>
      <c r="G44" s="26" t="inlineStr">
        <is>
          <t>DA</t>
        </is>
      </c>
    </row>
    <row r="45">
      <c r="A45" s="25" t="inlineStr">
        <is>
          <t>ThongBao</t>
        </is>
      </c>
      <c r="B45" s="25" t="inlineStr">
        <is>
          <t>IdNguoiDung</t>
        </is>
      </c>
      <c r="C45" s="25" t="inlineStr">
        <is>
          <t>NguoiDung</t>
        </is>
      </c>
      <c r="D45" s="25" t="inlineStr">
        <is>
          <t>MaNguoiDung</t>
        </is>
      </c>
      <c r="E45" s="24" t="inlineStr">
        <is>
          <t>Không</t>
        </is>
      </c>
      <c r="F45" s="24" t="inlineStr">
        <is>
          <t>RESTRICT</t>
        </is>
      </c>
      <c r="G45" s="24" t="inlineStr">
        <is>
          <t>DA</t>
        </is>
      </c>
    </row>
    <row r="46">
      <c r="A46" s="27" t="inlineStr">
        <is>
          <t>RefreshToken</t>
        </is>
      </c>
      <c r="B46" s="27" t="inlineStr">
        <is>
          <t>MaNguoiDung</t>
        </is>
      </c>
      <c r="C46" s="27" t="inlineStr">
        <is>
          <t>NguoiDung</t>
        </is>
      </c>
      <c r="D46" s="27" t="inlineStr">
        <is>
          <t>MaNguoiDung</t>
        </is>
      </c>
      <c r="E46" s="26" t="inlineStr">
        <is>
          <t>Không</t>
        </is>
      </c>
      <c r="F46" s="26" t="inlineStr">
        <is>
          <t>RESTRICT</t>
        </is>
      </c>
      <c r="G46" s="26" t="inlineStr">
        <is>
          <t>ĐX (bổ sung)</t>
        </is>
      </c>
    </row>
  </sheetData>
  <autoFilter ref="A4:G46"/>
  <mergeCells count="3">
    <mergeCell ref="A3:G3"/>
    <mergeCell ref="A2:G2"/>
    <mergeCell ref="A1:G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3"/>
  <sheetViews>
    <sheetView zoomScale="90" workbookViewId="0">
      <pane ySplit="4" topLeftCell="A5" activePane="bottomLeft" state="frozen"/>
      <selection pane="bottomLeft" activeCell="A1" sqref="A1"/>
    </sheetView>
  </sheetViews>
  <sheetFormatPr baseColWidth="8" defaultRowHeight="15"/>
  <cols>
    <col width="22" customWidth="1" min="1" max="1"/>
    <col width="16" customWidth="1" min="2" max="2"/>
    <col width="70" customWidth="1" min="3" max="3"/>
    <col width="70" customWidth="1" min="4" max="4"/>
  </cols>
  <sheetData>
    <row r="1" ht="26" customHeight="1">
      <c r="A1" s="1" t="inlineStr">
        <is>
          <t>20 · GIÁ TRỊ ENUM ĐỀ XUẤT</t>
        </is>
      </c>
    </row>
    <row r="2">
      <c r="A2" s="2" t="inlineStr">
        <is>
          <t>19 cột ENUM</t>
        </is>
      </c>
    </row>
    <row r="3" ht="30" customHeight="1">
      <c r="A3" s="3" t="inlineStr">
        <is>
          <t>DA chỉ ghi kiểu ENUM, chưa liệt kê giá trị (RS-18). Lưu dạng chuỗi + CHECK để dễ đọc khi truy vấn.</t>
        </is>
      </c>
    </row>
    <row r="4" ht="32" customHeight="1">
      <c r="A4" s="4" t="inlineStr">
        <is>
          <t>Bảng</t>
        </is>
      </c>
      <c r="B4" s="4" t="inlineStr">
        <is>
          <t>Cột</t>
        </is>
      </c>
      <c r="C4" s="4" t="inlineStr">
        <is>
          <t>Giá trị đề xuất</t>
        </is>
      </c>
      <c r="D4" s="4" t="inlineStr">
        <is>
          <t>Ghi chú</t>
        </is>
      </c>
    </row>
    <row r="5">
      <c r="A5" s="25" t="inlineStr">
        <is>
          <t>NguoiDung</t>
        </is>
      </c>
      <c r="B5" s="25" t="inlineStr">
        <is>
          <t>VaiTro</t>
        </is>
      </c>
      <c r="C5" s="25" t="inlineStr">
        <is>
          <t>KhachHang | NhanVien | ChuSpa</t>
        </is>
      </c>
      <c r="D5" s="25" t="inlineStr">
        <is>
          <t>Khớp 3 nhóm người dùng của DA</t>
        </is>
      </c>
    </row>
    <row r="6">
      <c r="A6" s="27" t="inlineStr">
        <is>
          <t>NguoiDung</t>
        </is>
      </c>
      <c r="B6" s="27" t="inlineStr">
        <is>
          <t>TrangThai</t>
        </is>
      </c>
      <c r="C6" s="27" t="inlineStr">
        <is>
          <t>HoatDong | BiKhoa | NgungHoatDong</t>
        </is>
      </c>
      <c r="D6" s="27" t="inlineStr">
        <is>
          <t>BiKhoa: chủ spa khóa (UC-SPA-05); NgungHoatDong: nhân viên nghỉ việc (UC-SPA-22) — UC Đăng nhập E2</t>
        </is>
      </c>
    </row>
    <row r="7">
      <c r="A7" s="25" t="inlineStr">
        <is>
          <t>NguoiDung</t>
        </is>
      </c>
      <c r="B7" s="25" t="inlineStr">
        <is>
          <t>GioiTinh</t>
        </is>
      </c>
      <c r="C7" s="25" t="inlineStr">
        <is>
          <t>Nam | Nu | Khac</t>
        </is>
      </c>
      <c r="D7" s="25" t="inlineStr"/>
    </row>
    <row r="8">
      <c r="A8" s="27" t="inlineStr">
        <is>
          <t>DichVu</t>
        </is>
      </c>
      <c r="B8" s="27" t="inlineStr">
        <is>
          <t>TrangThai</t>
        </is>
      </c>
      <c r="C8" s="27" t="inlineStr">
        <is>
          <t>DangBan | NgungBan</t>
        </is>
      </c>
      <c r="D8" s="27" t="inlineStr">
        <is>
          <t>DA dùng 'DangBan' trong UC Tìm kiếm</t>
        </is>
      </c>
    </row>
    <row r="9">
      <c r="A9" s="25" t="inlineStr">
        <is>
          <t>GoiDichVu</t>
        </is>
      </c>
      <c r="B9" s="25" t="inlineStr">
        <is>
          <t>TrangThai</t>
        </is>
      </c>
      <c r="C9" s="25" t="inlineStr">
        <is>
          <t>DangBan | NgungBan</t>
        </is>
      </c>
      <c r="D9" s="25" t="inlineStr">
        <is>
          <t>Kết hợp NgayBatDauBan/NgayKetThucBan khi lọc</t>
        </is>
      </c>
    </row>
    <row r="10">
      <c r="A10" s="27" t="inlineStr">
        <is>
          <t>LichLamViec</t>
        </is>
      </c>
      <c r="B10" s="27" t="inlineStr">
        <is>
          <t>TrangThai</t>
        </is>
      </c>
      <c r="C10" s="27" t="inlineStr">
        <is>
          <t>HoatDong | DaHuy</t>
        </is>
      </c>
      <c r="D10" s="27" t="inlineStr">
        <is>
          <t>Ca DaHuy không dùng để tính giờ trống</t>
        </is>
      </c>
    </row>
    <row r="11">
      <c r="A11" s="25" t="inlineStr">
        <is>
          <t>KhuyenMai</t>
        </is>
      </c>
      <c r="B11" s="25" t="inlineStr">
        <is>
          <t>LoaiGiamGia</t>
        </is>
      </c>
      <c r="C11" s="25" t="inlineStr">
        <is>
          <t>PhanTram | SoTien</t>
        </is>
      </c>
      <c r="D11" s="25" t="inlineStr">
        <is>
          <t>GiaTri ≤ 100 khi PhanTram</t>
        </is>
      </c>
    </row>
    <row r="12">
      <c r="A12" s="27" t="inlineStr">
        <is>
          <t>KhuyenMai</t>
        </is>
      </c>
      <c r="B12" s="27" t="inlineStr">
        <is>
          <t>TrangThai</t>
        </is>
      </c>
      <c r="C12" s="27" t="inlineStr">
        <is>
          <t>HoatDong | NgungApDung</t>
        </is>
      </c>
      <c r="D12" s="27" t="inlineStr">
        <is>
          <t>UC-SPA-14 A2 'ngừng khuyến mãi'</t>
        </is>
      </c>
    </row>
    <row r="13">
      <c r="A13" s="25" t="inlineStr">
        <is>
          <t>DonHang</t>
        </is>
      </c>
      <c r="B13" s="25" t="inlineStr">
        <is>
          <t>TrangThai</t>
        </is>
      </c>
      <c r="C13" s="25" t="inlineStr">
        <is>
          <t>ChoThanhToan | DaThanhToan | DaHuy | HetHan</t>
        </is>
      </c>
      <c r="D13" s="25" t="inlineStr">
        <is>
          <t>HetHan khi quá HetHanThanhToanLuc</t>
        </is>
      </c>
    </row>
    <row r="14">
      <c r="A14" s="27" t="inlineStr">
        <is>
          <t>ThanhToan</t>
        </is>
      </c>
      <c r="B14" s="27" t="inlineStr">
        <is>
          <t>TrangThai</t>
        </is>
      </c>
      <c r="C14" s="27" t="inlineStr">
        <is>
          <t>DangCho | ThanhCong | ThatBai | HetHan</t>
        </is>
      </c>
      <c r="D14" s="27" t="inlineStr">
        <is>
          <t>Một đơn có nhiều lần thử (UC-SPA-11 A2)</t>
        </is>
      </c>
    </row>
    <row r="15">
      <c r="A15" s="25" t="inlineStr">
        <is>
          <t>DichVuKhachHang</t>
        </is>
      </c>
      <c r="B15" s="25" t="inlineStr">
        <is>
          <t>TrangThai</t>
        </is>
      </c>
      <c r="C15" s="25" t="inlineStr">
        <is>
          <t>ChuaSuDung | DaDatLich | DaSuDung | HetHan</t>
        </is>
      </c>
      <c r="D15" s="25" t="inlineStr"/>
    </row>
    <row r="16">
      <c r="A16" s="27" t="inlineStr">
        <is>
          <t>GoiKhachHang</t>
        </is>
      </c>
      <c r="B16" s="27" t="inlineStr">
        <is>
          <t>TrangThai</t>
        </is>
      </c>
      <c r="C16" s="27" t="inlineStr">
        <is>
          <t>DangSuDung | HoanThanh | HetHan | DaHuy</t>
        </is>
      </c>
      <c r="D16" s="27" t="inlineStr">
        <is>
          <t>Đề xuất kích hoạt ngay khi thanh toán (NgayKichHoat = thời điểm thanh toán)</t>
        </is>
      </c>
    </row>
    <row r="17">
      <c r="A17" s="25" t="inlineStr">
        <is>
          <t>LieuTrinh</t>
        </is>
      </c>
      <c r="B17" s="25" t="inlineStr">
        <is>
          <t>TrangThai</t>
        </is>
      </c>
      <c r="C17" s="25" t="inlineStr">
        <is>
          <t>ChuaBatDau | DangThucHien | HoanThanh | TamDung | DaHuy</t>
        </is>
      </c>
      <c r="D17" s="25" t="inlineStr"/>
    </row>
    <row r="18">
      <c r="A18" s="27" t="inlineStr">
        <is>
          <t>BuoiChamSoc</t>
        </is>
      </c>
      <c r="B18" s="27" t="inlineStr">
        <is>
          <t>TrangThai</t>
        </is>
      </c>
      <c r="C18" s="27" t="inlineStr">
        <is>
          <t>ChuaDat | DaDatLich | HoanThanh | BoQua</t>
        </is>
      </c>
      <c r="D18" s="27" t="inlineStr"/>
    </row>
    <row r="19">
      <c r="A19" s="25" t="inlineStr">
        <is>
          <t>LichHen</t>
        </is>
      </c>
      <c r="B19" s="25" t="inlineStr">
        <is>
          <t>TrangThai</t>
        </is>
      </c>
      <c r="C19" s="25" t="inlineStr">
        <is>
          <t>GiuCho | ChoXacNhan | DaXacNhan | HoanThanh | DaHuy | KhongDen | HetHanGiuCho</t>
        </is>
      </c>
      <c r="D19" s="25" t="inlineStr">
        <is>
          <t>GiuCho: luồng 1 chờ thanh toán; ChoXacNhan: luồng 2 nếu chủ spa phải xác nhận (cần chốt)</t>
        </is>
      </c>
    </row>
    <row r="20">
      <c r="A20" s="27" t="inlineStr">
        <is>
          <t>HoSoDa</t>
        </is>
      </c>
      <c r="B20" s="27" t="inlineStr">
        <is>
          <t>LoaiDa</t>
        </is>
      </c>
      <c r="C20" s="27" t="inlineStr">
        <is>
          <t>Thuong | Kho | Dau | HonHop | NhayCam</t>
        </is>
      </c>
      <c r="D20" s="27" t="inlineStr"/>
    </row>
    <row r="21">
      <c r="A21" s="25" t="inlineStr">
        <is>
          <t>DiUngKhachHang</t>
        </is>
      </c>
      <c r="B21" s="25" t="inlineStr">
        <is>
          <t>MucDo</t>
        </is>
      </c>
      <c r="C21" s="25" t="inlineStr">
        <is>
          <t>Nhe | TrungBinh | Nang</t>
        </is>
      </c>
      <c r="D21" s="25" t="inlineStr"/>
    </row>
    <row r="22">
      <c r="A22" s="27" t="inlineStr">
        <is>
          <t>DanhGia</t>
        </is>
      </c>
      <c r="B22" s="27" t="inlineStr">
        <is>
          <t>TrangThai</t>
        </is>
      </c>
      <c r="C22" s="27" t="inlineStr">
        <is>
          <t>HienThi | An</t>
        </is>
      </c>
      <c r="D22" s="27" t="inlineStr">
        <is>
          <t>UC-SPA-31</t>
        </is>
      </c>
    </row>
    <row r="23">
      <c r="A23" s="25" t="inlineStr">
        <is>
          <t>ThongBao</t>
        </is>
      </c>
      <c r="B23" s="25" t="inlineStr">
        <is>
          <t>Loai</t>
        </is>
      </c>
      <c r="C23" s="25" t="inlineStr">
        <is>
          <t>LichHen | ThanhToan | LieuTrinh | KhuyenMai | HeThong</t>
        </is>
      </c>
      <c r="D23" s="25" t="inlineStr"/>
    </row>
  </sheetData>
  <autoFilter ref="A4:D23"/>
  <mergeCells count="3">
    <mergeCell ref="A1:D1"/>
    <mergeCell ref="A3:D3"/>
    <mergeCell ref="A2:D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6"/>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28" customWidth="1" min="1" max="1"/>
    <col width="56" customWidth="1" min="2" max="2"/>
    <col width="22" customWidth="1" min="3" max="3"/>
    <col width="22" customWidth="1" min="4" max="4"/>
    <col width="12" customWidth="1" min="5" max="5"/>
    <col width="24" customWidth="1" min="6" max="6"/>
    <col width="16" customWidth="1" min="7" max="7"/>
  </cols>
  <sheetData>
    <row r="1" ht="26" customHeight="1">
      <c r="A1" s="1" t="inlineStr">
        <is>
          <t>21 · MA TRẬN PHÂN QUYỀN</t>
        </is>
      </c>
    </row>
    <row r="2">
      <c r="A2" s="2" t="inlineStr">
        <is>
          <t>Theo danh sách actor của DA</t>
        </is>
      </c>
    </row>
    <row r="3" ht="30" customHeight="1">
      <c r="A3" s="3" t="inlineStr">
        <is>
          <t>✓ = được phép; ghi chú = giới hạn phạm vi. Kiểm tra tại API (BR-SEC-01).</t>
        </is>
      </c>
    </row>
    <row r="4" ht="32" customHeight="1">
      <c r="A4" s="4" t="inlineStr">
        <is>
          <t>Permission</t>
        </is>
      </c>
      <c r="B4" s="4" t="inlineStr">
        <is>
          <t>Mô tả</t>
        </is>
      </c>
      <c r="C4" s="4" t="inlineStr">
        <is>
          <t>UC</t>
        </is>
      </c>
      <c r="D4" s="4" t="inlineStr">
        <is>
          <t>Khách vãng lai</t>
        </is>
      </c>
      <c r="E4" s="4" t="inlineStr">
        <is>
          <t>Khách hàng</t>
        </is>
      </c>
      <c r="F4" s="4" t="inlineStr">
        <is>
          <t>Nhân viên</t>
        </is>
      </c>
      <c r="G4" s="4" t="inlineStr">
        <is>
          <t>Chủ spa</t>
        </is>
      </c>
    </row>
    <row r="5">
      <c r="A5" s="25" t="inlineStr">
        <is>
          <t>catalog.view</t>
        </is>
      </c>
      <c r="B5" s="25" t="inlineStr">
        <is>
          <t>Tìm kiếm, xem chi tiết dịch vụ/gói, giới thiệu spa, đánh giá</t>
        </is>
      </c>
      <c r="C5" s="25" t="inlineStr">
        <is>
          <t>UC-SPA-06, 07, 08, 29</t>
        </is>
      </c>
      <c r="D5" s="24" t="inlineStr">
        <is>
          <t>✓</t>
        </is>
      </c>
      <c r="E5" s="24" t="inlineStr">
        <is>
          <t>✓</t>
        </is>
      </c>
      <c r="F5" s="24" t="inlineStr">
        <is>
          <t>✓</t>
        </is>
      </c>
      <c r="G5" s="24" t="inlineStr">
        <is>
          <t>✓</t>
        </is>
      </c>
    </row>
    <row r="6">
      <c r="A6" s="27" t="inlineStr">
        <is>
          <t>auth.register / login / forgot</t>
        </is>
      </c>
      <c r="B6" s="27" t="inlineStr">
        <is>
          <t>Đăng ký, đăng nhập, quên mật khẩu</t>
        </is>
      </c>
      <c r="C6" s="27" t="inlineStr">
        <is>
          <t>UC-SPA-01, 02, 03</t>
        </is>
      </c>
      <c r="D6" s="26" t="inlineStr">
        <is>
          <t>✓</t>
        </is>
      </c>
      <c r="E6" s="26" t="inlineStr">
        <is>
          <t>✓</t>
        </is>
      </c>
      <c r="F6" s="26" t="inlineStr">
        <is>
          <t>✓</t>
        </is>
      </c>
      <c r="G6" s="26" t="inlineStr">
        <is>
          <t>✓</t>
        </is>
      </c>
    </row>
    <row r="7">
      <c r="A7" s="25" t="inlineStr">
        <is>
          <t>account.self</t>
        </is>
      </c>
      <c r="B7" s="25" t="inlineStr">
        <is>
          <t>Cập nhật thông tin tài khoản</t>
        </is>
      </c>
      <c r="C7" s="25" t="inlineStr">
        <is>
          <t>UC-SPA-04</t>
        </is>
      </c>
      <c r="D7" s="24" t="inlineStr"/>
      <c r="E7" s="24" t="inlineStr">
        <is>
          <t>✓</t>
        </is>
      </c>
      <c r="F7" s="24" t="inlineStr">
        <is>
          <t>✓</t>
        </is>
      </c>
      <c r="G7" s="24" t="inlineStr">
        <is>
          <t>✓</t>
        </is>
      </c>
    </row>
    <row r="8">
      <c r="A8" s="27" t="inlineStr">
        <is>
          <t>account.manage</t>
        </is>
      </c>
      <c r="B8" s="27" t="inlineStr">
        <is>
          <t>Quản lý tài khoản người dùng (xem, sửa, khóa)</t>
        </is>
      </c>
      <c r="C8" s="27" t="inlineStr">
        <is>
          <t>UC-SPA-05</t>
        </is>
      </c>
      <c r="D8" s="26" t="inlineStr"/>
      <c r="E8" s="26" t="inlineStr"/>
      <c r="F8" s="26" t="inlineStr"/>
      <c r="G8" s="26" t="inlineStr">
        <is>
          <t>✓</t>
        </is>
      </c>
    </row>
    <row r="9">
      <c r="A9" s="25" t="inlineStr">
        <is>
          <t>catalog.manage</t>
        </is>
      </c>
      <c r="B9" s="25" t="inlineStr">
        <is>
          <t>Quản lý dịch vụ và gói</t>
        </is>
      </c>
      <c r="C9" s="25" t="inlineStr">
        <is>
          <t>UC-SPA-09</t>
        </is>
      </c>
      <c r="D9" s="24" t="inlineStr"/>
      <c r="E9" s="24" t="inlineStr"/>
      <c r="F9" s="24" t="inlineStr"/>
      <c r="G9" s="24" t="inlineStr">
        <is>
          <t>✓</t>
        </is>
      </c>
    </row>
    <row r="10">
      <c r="A10" s="27" t="inlineStr">
        <is>
          <t>cart.self</t>
        </is>
      </c>
      <c r="B10" s="27" t="inlineStr">
        <is>
          <t>Quản lý giỏ hàng</t>
        </is>
      </c>
      <c r="C10" s="27" t="inlineStr">
        <is>
          <t>UC-SPA-10</t>
        </is>
      </c>
      <c r="D10" s="26" t="inlineStr"/>
      <c r="E10" s="26" t="inlineStr">
        <is>
          <t>✓</t>
        </is>
      </c>
      <c r="F10" s="26" t="inlineStr"/>
      <c r="G10" s="26" t="inlineStr"/>
    </row>
    <row r="11">
      <c r="A11" s="25" t="inlineStr">
        <is>
          <t>order.self</t>
        </is>
      </c>
      <c r="B11" s="25" t="inlineStr">
        <is>
          <t>Thanh toán, đơn hàng của tôi</t>
        </is>
      </c>
      <c r="C11" s="25" t="inlineStr">
        <is>
          <t>UC-SPA-11, 12</t>
        </is>
      </c>
      <c r="D11" s="24" t="inlineStr"/>
      <c r="E11" s="24" t="inlineStr">
        <is>
          <t>✓</t>
        </is>
      </c>
      <c r="F11" s="24" t="inlineStr"/>
      <c r="G11" s="24" t="inlineStr"/>
    </row>
    <row r="12">
      <c r="A12" s="27" t="inlineStr">
        <is>
          <t>order.manage</t>
        </is>
      </c>
      <c r="B12" s="27" t="inlineStr">
        <is>
          <t>Quản lý đơn hàng (xem, hủy chưa thanh toán)</t>
        </is>
      </c>
      <c r="C12" s="27" t="inlineStr">
        <is>
          <t>UC-SPA-13</t>
        </is>
      </c>
      <c r="D12" s="26" t="inlineStr"/>
      <c r="E12" s="26" t="inlineStr"/>
      <c r="F12" s="26" t="inlineStr"/>
      <c r="G12" s="26" t="inlineStr">
        <is>
          <t>✓</t>
        </is>
      </c>
    </row>
    <row r="13">
      <c r="A13" s="25" t="inlineStr">
        <is>
          <t>promotion.manage</t>
        </is>
      </c>
      <c r="B13" s="25" t="inlineStr">
        <is>
          <t>Quản lý khuyến mãi</t>
        </is>
      </c>
      <c r="C13" s="25" t="inlineStr">
        <is>
          <t>UC-SPA-14</t>
        </is>
      </c>
      <c r="D13" s="24" t="inlineStr"/>
      <c r="E13" s="24" t="inlineStr"/>
      <c r="F13" s="24" t="inlineStr"/>
      <c r="G13" s="24" t="inlineStr">
        <is>
          <t>✓</t>
        </is>
      </c>
    </row>
    <row r="14">
      <c r="A14" s="27" t="inlineStr">
        <is>
          <t>appointment.self</t>
        </is>
      </c>
      <c r="B14" s="27" t="inlineStr">
        <is>
          <t>Đặt lịch, xem/đổi/hủy lịch của tôi</t>
        </is>
      </c>
      <c r="C14" s="27" t="inlineStr">
        <is>
          <t>UC-SPA-15, 16</t>
        </is>
      </c>
      <c r="D14" s="26" t="inlineStr"/>
      <c r="E14" s="26" t="inlineStr">
        <is>
          <t>✓</t>
        </is>
      </c>
      <c r="F14" s="26" t="inlineStr"/>
      <c r="G14" s="26" t="inlineStr"/>
    </row>
    <row r="15">
      <c r="A15" s="25" t="inlineStr">
        <is>
          <t>appointment.manage</t>
        </is>
      </c>
      <c r="B15" s="25" t="inlineStr">
        <is>
          <t>Quản lý lịch hẹn (xác nhận, đổi giờ, đổi nhân viên, hủy, không đến)</t>
        </is>
      </c>
      <c r="C15" s="25" t="inlineStr">
        <is>
          <t>UC-SPA-17</t>
        </is>
      </c>
      <c r="D15" s="24" t="inlineStr"/>
      <c r="E15" s="24" t="inlineStr"/>
      <c r="F15" s="24" t="inlineStr"/>
      <c r="G15" s="24" t="inlineStr">
        <is>
          <t>✓</t>
        </is>
      </c>
    </row>
    <row r="16">
      <c r="A16" s="27" t="inlineStr">
        <is>
          <t>purchase.self</t>
        </is>
      </c>
      <c r="B16" s="27" t="inlineStr">
        <is>
          <t>Dịch vụ và gói đã mua, liệu trình, lịch sử sử dụng</t>
        </is>
      </c>
      <c r="C16" s="27" t="inlineStr">
        <is>
          <t>UC-SPA-18, 19, 20</t>
        </is>
      </c>
      <c r="D16" s="26" t="inlineStr"/>
      <c r="E16" s="26" t="inlineStr">
        <is>
          <t>✓</t>
        </is>
      </c>
      <c r="F16" s="26" t="inlineStr"/>
      <c r="G16" s="26" t="inlineStr"/>
    </row>
    <row r="17">
      <c r="A17" s="25" t="inlineStr">
        <is>
          <t>treatment.manage</t>
        </is>
      </c>
      <c r="B17" s="25" t="inlineStr">
        <is>
          <t>Quản lý liệu trình và lịch sử chăm sóc</t>
        </is>
      </c>
      <c r="C17" s="25" t="inlineStr">
        <is>
          <t>UC-SPA-21</t>
        </is>
      </c>
      <c r="D17" s="24" t="inlineStr"/>
      <c r="E17" s="24" t="inlineStr"/>
      <c r="F17" s="24" t="inlineStr">
        <is>
          <t>✓ (liệu trình phụ trách)</t>
        </is>
      </c>
      <c r="G17" s="24" t="inlineStr">
        <is>
          <t>✓</t>
        </is>
      </c>
    </row>
    <row r="18">
      <c r="A18" s="27" t="inlineStr">
        <is>
          <t>staff.manage</t>
        </is>
      </c>
      <c r="B18" s="27" t="inlineStr">
        <is>
          <t>Quản lý nhân viên</t>
        </is>
      </c>
      <c r="C18" s="27" t="inlineStr">
        <is>
          <t>UC-SPA-22</t>
        </is>
      </c>
      <c r="D18" s="26" t="inlineStr"/>
      <c r="E18" s="26" t="inlineStr"/>
      <c r="F18" s="26" t="inlineStr"/>
      <c r="G18" s="26" t="inlineStr">
        <is>
          <t>✓</t>
        </is>
      </c>
    </row>
    <row r="19">
      <c r="A19" s="25" t="inlineStr">
        <is>
          <t>schedule.manage</t>
        </is>
      </c>
      <c r="B19" s="25" t="inlineStr">
        <is>
          <t>Phân công lịch làm việc</t>
        </is>
      </c>
      <c r="C19" s="25" t="inlineStr">
        <is>
          <t>UC-SPA-23</t>
        </is>
      </c>
      <c r="D19" s="24" t="inlineStr"/>
      <c r="E19" s="24" t="inlineStr"/>
      <c r="F19" s="24" t="inlineStr"/>
      <c r="G19" s="24" t="inlineStr">
        <is>
          <t>✓</t>
        </is>
      </c>
    </row>
    <row r="20">
      <c r="A20" s="27" t="inlineStr">
        <is>
          <t>schedule.self</t>
        </is>
      </c>
      <c r="B20" s="27" t="inlineStr">
        <is>
          <t>Xem lịch làm việc cá nhân, lịch hẹn được phân công</t>
        </is>
      </c>
      <c r="C20" s="27" t="inlineStr">
        <is>
          <t>UC-SPA-24, 25</t>
        </is>
      </c>
      <c r="D20" s="26" t="inlineStr"/>
      <c r="E20" s="26" t="inlineStr"/>
      <c r="F20" s="26" t="inlineStr">
        <is>
          <t>✓</t>
        </is>
      </c>
      <c r="G20" s="26" t="inlineStr"/>
    </row>
    <row r="21">
      <c r="A21" s="25" t="inlineStr">
        <is>
          <t>care.write</t>
        </is>
      </c>
      <c r="B21" s="25" t="inlineStr">
        <is>
          <t>Lịch sử khách đã chăm sóc, hồ sơ da, xác nhận hoàn thành</t>
        </is>
      </c>
      <c r="C21" s="25" t="inlineStr">
        <is>
          <t>UC-SPA-26, 27, 28</t>
        </is>
      </c>
      <c r="D21" s="24" t="inlineStr"/>
      <c r="E21" s="24" t="inlineStr"/>
      <c r="F21" s="24" t="inlineStr">
        <is>
          <t>✓ (lịch của mình)</t>
        </is>
      </c>
      <c r="G21" s="24" t="inlineStr"/>
    </row>
    <row r="22">
      <c r="A22" s="27" t="inlineStr">
        <is>
          <t>review.write</t>
        </is>
      </c>
      <c r="B22" s="27" t="inlineStr">
        <is>
          <t>Đánh giá dịch vụ</t>
        </is>
      </c>
      <c r="C22" s="27" t="inlineStr">
        <is>
          <t>UC-SPA-30</t>
        </is>
      </c>
      <c r="D22" s="26" t="inlineStr"/>
      <c r="E22" s="26" t="inlineStr">
        <is>
          <t>✓</t>
        </is>
      </c>
      <c r="F22" s="26" t="inlineStr"/>
      <c r="G22" s="26" t="inlineStr"/>
    </row>
    <row r="23">
      <c r="A23" s="25" t="inlineStr">
        <is>
          <t>review.manage</t>
        </is>
      </c>
      <c r="B23" s="25" t="inlineStr">
        <is>
          <t>Phản hồi, ẩn đánh giá</t>
        </is>
      </c>
      <c r="C23" s="25" t="inlineStr">
        <is>
          <t>UC-SPA-31</t>
        </is>
      </c>
      <c r="D23" s="24" t="inlineStr"/>
      <c r="E23" s="24" t="inlineStr"/>
      <c r="F23" s="24" t="inlineStr"/>
      <c r="G23" s="24" t="inlineStr">
        <is>
          <t>✓</t>
        </is>
      </c>
    </row>
    <row r="24">
      <c r="A24" s="27" t="inlineStr">
        <is>
          <t>ai.chat</t>
        </is>
      </c>
      <c r="B24" s="27" t="inlineStr">
        <is>
          <t>Trò chuyện với trợ lý AI</t>
        </is>
      </c>
      <c r="C24" s="27" t="inlineStr">
        <is>
          <t>UC-SPA-32</t>
        </is>
      </c>
      <c r="D24" s="26" t="inlineStr">
        <is>
          <t>✓ (không lưu lịch sử — cần chốt)</t>
        </is>
      </c>
      <c r="E24" s="26" t="inlineStr">
        <is>
          <t>✓</t>
        </is>
      </c>
      <c r="F24" s="26" t="inlineStr"/>
      <c r="G24" s="26" t="inlineStr"/>
    </row>
    <row r="25">
      <c r="A25" s="25" t="inlineStr">
        <is>
          <t>report.view</t>
        </is>
      </c>
      <c r="B25" s="25" t="inlineStr">
        <is>
          <t>Thống kê báo cáo doanh thu</t>
        </is>
      </c>
      <c r="C25" s="25" t="inlineStr">
        <is>
          <t>UC-SPA-33</t>
        </is>
      </c>
      <c r="D25" s="24" t="inlineStr"/>
      <c r="E25" s="24" t="inlineStr"/>
      <c r="F25" s="24" t="inlineStr"/>
      <c r="G25" s="24" t="inlineStr">
        <is>
          <t>✓</t>
        </is>
      </c>
    </row>
    <row r="26">
      <c r="A26" s="27" t="inlineStr">
        <is>
          <t>notification.self</t>
        </is>
      </c>
      <c r="B26" s="27" t="inlineStr">
        <is>
          <t>Xem thông báo</t>
        </is>
      </c>
      <c r="C26" s="27" t="inlineStr">
        <is>
          <t>UC-SPA-34</t>
        </is>
      </c>
      <c r="D26" s="26" t="inlineStr"/>
      <c r="E26" s="26" t="inlineStr">
        <is>
          <t>✓</t>
        </is>
      </c>
      <c r="F26" s="26" t="inlineStr">
        <is>
          <t>✓</t>
        </is>
      </c>
      <c r="G26" s="26" t="inlineStr">
        <is>
          <t>(DA chưa liệt kê)</t>
        </is>
      </c>
    </row>
  </sheetData>
  <autoFilter ref="A4:G26"/>
  <mergeCells count="3">
    <mergeCell ref="A3:G3"/>
    <mergeCell ref="A2:G2"/>
    <mergeCell ref="A1:G1"/>
  </mergeCells>
  <conditionalFormatting sqref="D5:G26">
    <cfRule type="expression" priority="1" dxfId="0">
      <formula>LEFT(D5,1)="✓"</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27"/>
  <sheetViews>
    <sheetView zoomScale="90" workbookViewId="0">
      <pane ySplit="4" topLeftCell="A5" activePane="bottomLeft" state="frozen"/>
      <selection pane="bottomLeft" activeCell="A1" sqref="A1"/>
    </sheetView>
  </sheetViews>
  <sheetFormatPr baseColWidth="8" defaultRowHeight="15"/>
  <cols>
    <col width="8" customWidth="1" min="1" max="1"/>
    <col width="42" customWidth="1" min="2" max="2"/>
    <col width="56" customWidth="1" min="3" max="3"/>
    <col width="44" customWidth="1" min="4" max="4"/>
    <col width="30" customWidth="1" min="5" max="5"/>
  </cols>
  <sheetData>
    <row r="1" ht="26" customHeight="1">
      <c r="A1" s="1" t="inlineStr">
        <is>
          <t>22 · MÃ LỖI API</t>
        </is>
      </c>
    </row>
    <row r="2">
      <c r="A2" s="2" t="inlineStr">
        <is>
          <t>23 mã</t>
        </is>
      </c>
    </row>
    <row r="3" ht="30" customHeight="1">
      <c r="A3" s="3" t="inlineStr">
        <is>
          <t>Gắn với các luồng ngoại lệ E1/E2 trong đặc tả; khớp exception middleware của foundation.</t>
        </is>
      </c>
    </row>
    <row r="4" ht="32" customHeight="1">
      <c r="A4" s="4" t="inlineStr">
        <is>
          <t>HTTP</t>
        </is>
      </c>
      <c r="B4" s="4" t="inlineStr">
        <is>
          <t>Mã lỗi</t>
        </is>
      </c>
      <c r="C4" s="4" t="inlineStr">
        <is>
          <t>Điều kiện</t>
        </is>
      </c>
      <c r="D4" s="4" t="inlineStr">
        <is>
          <t>Hướng xử lý FE</t>
        </is>
      </c>
      <c r="E4" s="4" t="inlineStr">
        <is>
          <t>Tham chiếu</t>
        </is>
      </c>
    </row>
    <row r="5">
      <c r="A5" s="24" t="inlineStr">
        <is>
          <t>400</t>
        </is>
      </c>
      <c r="B5" s="25" t="inlineStr">
        <is>
          <t>VALIDATION_ERROR</t>
        </is>
      </c>
      <c r="C5" s="25" t="inlineStr">
        <is>
          <t>Dữ liệu không hợp lệ (các E1 'dữ liệu không hợp lệ' trong DA)</t>
        </is>
      </c>
      <c r="D5" s="25" t="inlineStr">
        <is>
          <t>Hiển thị lỗi theo trường</t>
        </is>
      </c>
      <c r="E5" s="25" t="inlineStr">
        <is>
          <t>Email sai định dạng</t>
        </is>
      </c>
    </row>
    <row r="6">
      <c r="A6" s="26" t="inlineStr">
        <is>
          <t>400</t>
        </is>
      </c>
      <c r="B6" s="27" t="inlineStr">
        <is>
          <t>OTP_INVALID / OTP_EXPIRED / OTP_TOO_MANY_ATTEMPTS</t>
        </is>
      </c>
      <c r="C6" s="27" t="inlineStr">
        <is>
          <t>OTP sai, hết hạn, quá số lần</t>
        </is>
      </c>
      <c r="D6" s="27" t="inlineStr">
        <is>
          <t>Cho nhập lại / gửi lại OTP</t>
        </is>
      </c>
      <c r="E6" s="27" t="inlineStr">
        <is>
          <t>UC-SPA-01 E2, UC-SPA-03 E2</t>
        </is>
      </c>
    </row>
    <row r="7">
      <c r="A7" s="24" t="inlineStr">
        <is>
          <t>400</t>
        </is>
      </c>
      <c r="B7" s="25" t="inlineStr">
        <is>
          <t>PROMO_INVALID / PROMO_NOT_APPLICABLE</t>
        </is>
      </c>
      <c r="C7" s="25" t="inlineStr">
        <is>
          <t>Mã không tồn tại, hết hạn, không đạt điều kiện</t>
        </is>
      </c>
      <c r="D7" s="25" t="inlineStr">
        <is>
          <t>Hiển thị dưới ô nhập mã</t>
        </is>
      </c>
      <c r="E7" s="25" t="inlineStr">
        <is>
          <t>UC-SPA-11 E1</t>
        </is>
      </c>
    </row>
    <row r="8">
      <c r="A8" s="26" t="inlineStr">
        <is>
          <t>400</t>
        </is>
      </c>
      <c r="B8" s="27" t="inlineStr">
        <is>
          <t>ENTITLEMENT_NOT_ELIGIBLE</t>
        </is>
      </c>
      <c r="C8" s="27" t="inlineStr">
        <is>
          <t>Quyền/buổi hết hạn, hết lượt, chưa đủ điều kiện</t>
        </is>
      </c>
      <c r="D8" s="27" t="inlineStr">
        <is>
          <t>Hiển thị lý do</t>
        </is>
      </c>
      <c r="E8" s="27" t="inlineStr">
        <is>
          <t>UC-SPA-15 luồng 2 E1</t>
        </is>
      </c>
    </row>
    <row r="9">
      <c r="A9" s="24" t="inlineStr">
        <is>
          <t>400</t>
        </is>
      </c>
      <c r="B9" s="25" t="inlineStr">
        <is>
          <t>CHANGE_WINDOW_PASSED</t>
        </is>
      </c>
      <c r="C9" s="25" t="inlineStr">
        <is>
          <t>Đổi/hủy quá thời hạn cho phép</t>
        </is>
      </c>
      <c r="D9" s="25" t="inlineStr">
        <is>
          <t>Hướng dẫn liên hệ spa</t>
        </is>
      </c>
      <c r="E9" s="25" t="inlineStr">
        <is>
          <t>UC-SPA-16</t>
        </is>
      </c>
    </row>
    <row r="10">
      <c r="A10" s="26" t="inlineStr">
        <is>
          <t>400</t>
        </is>
      </c>
      <c r="B10" s="27" t="inlineStr">
        <is>
          <t>REVIEW_NOT_ELIGIBLE</t>
        </is>
      </c>
      <c r="C10" s="27" t="inlineStr">
        <is>
          <t>Chưa đủ điều kiện đánh giá</t>
        </is>
      </c>
      <c r="D10" s="27" t="inlineStr">
        <is>
          <t>Hiển thị lý do</t>
        </is>
      </c>
      <c r="E10" s="27" t="inlineStr">
        <is>
          <t>UC-SPA-30 E1</t>
        </is>
      </c>
    </row>
    <row r="11">
      <c r="A11" s="24" t="inlineStr">
        <is>
          <t>400</t>
        </is>
      </c>
      <c r="B11" s="25" t="inlineStr">
        <is>
          <t>COMPLETE_NOT_ALLOWED</t>
        </is>
      </c>
      <c r="C11" s="25" t="inlineStr">
        <is>
          <t>Sai trạng thái lịch, chưa đến giờ, quyền đã dùng</t>
        </is>
      </c>
      <c r="D11" s="25" t="inlineStr">
        <is>
          <t>Hiển thị lý do</t>
        </is>
      </c>
      <c r="E11" s="25" t="inlineStr">
        <is>
          <t>UC-SPA-28 E1</t>
        </is>
      </c>
    </row>
    <row r="12">
      <c r="A12" s="26" t="inlineStr">
        <is>
          <t>400</t>
        </is>
      </c>
      <c r="B12" s="27" t="inlineStr">
        <is>
          <t>AI_INVALID_INPUT</t>
        </is>
      </c>
      <c r="C12" s="27" t="inlineStr">
        <is>
          <t>Câu hỏi rỗng/quá dài/không phù hợp</t>
        </is>
      </c>
      <c r="D12" s="27" t="inlineStr">
        <is>
          <t>Yêu cầu nhập lại</t>
        </is>
      </c>
      <c r="E12" s="27" t="inlineStr">
        <is>
          <t>UC-SPA-32 E1</t>
        </is>
      </c>
    </row>
    <row r="13">
      <c r="A13" s="24" t="inlineStr">
        <is>
          <t>401</t>
        </is>
      </c>
      <c r="B13" s="25" t="inlineStr">
        <is>
          <t>INVALID_CREDENTIALS / UNAUTHORIZED</t>
        </is>
      </c>
      <c r="C13" s="25" t="inlineStr">
        <is>
          <t>Sai thông tin đăng nhập; token hết hạn</t>
        </is>
      </c>
      <c r="D13" s="25" t="inlineStr">
        <is>
          <t>Refresh 1 lần; thất bại → /login</t>
        </is>
      </c>
      <c r="E13" s="25" t="inlineStr">
        <is>
          <t>UC-SPA-02 E1</t>
        </is>
      </c>
    </row>
    <row r="14">
      <c r="A14" s="26" t="inlineStr">
        <is>
          <t>403</t>
        </is>
      </c>
      <c r="B14" s="27" t="inlineStr">
        <is>
          <t>ACCOUNT_LOCKED</t>
        </is>
      </c>
      <c r="C14" s="27" t="inlineStr">
        <is>
          <t>Tài khoản bị khóa/ngừng hoạt động</t>
        </is>
      </c>
      <c r="D14" s="27" t="inlineStr">
        <is>
          <t>Thông báo và kết thúc</t>
        </is>
      </c>
      <c r="E14" s="27" t="inlineStr">
        <is>
          <t>UC-SPA-02 E2</t>
        </is>
      </c>
    </row>
    <row r="15">
      <c r="A15" s="24" t="inlineStr">
        <is>
          <t>403</t>
        </is>
      </c>
      <c r="B15" s="25" t="inlineStr">
        <is>
          <t>FORBIDDEN</t>
        </is>
      </c>
      <c r="C15" s="25" t="inlineStr">
        <is>
          <t>Sai vai trò hoặc ngoài phạm vi dữ liệu</t>
        </is>
      </c>
      <c r="D15" s="25" t="inlineStr">
        <is>
          <t>Trang /forbidden</t>
        </is>
      </c>
      <c r="E15" s="25" t="inlineStr">
        <is>
          <t>Nhân viên mở lịch của người khác</t>
        </is>
      </c>
    </row>
    <row r="16">
      <c r="A16" s="26" t="inlineStr">
        <is>
          <t>404</t>
        </is>
      </c>
      <c r="B16" s="27" t="inlineStr">
        <is>
          <t>NOT_FOUND</t>
        </is>
      </c>
      <c r="C16" s="27" t="inlineStr">
        <is>
          <t>Không tồn tại hoặc ngừng bán (với khách)</t>
        </is>
      </c>
      <c r="D16" s="27" t="inlineStr">
        <is>
          <t>EmptyState</t>
        </is>
      </c>
      <c r="E16" s="27" t="inlineStr">
        <is>
          <t>—</t>
        </is>
      </c>
    </row>
    <row r="17">
      <c r="A17" s="24" t="inlineStr">
        <is>
          <t>409</t>
        </is>
      </c>
      <c r="B17" s="25" t="inlineStr">
        <is>
          <t>SLOT_UNAVAILABLE</t>
        </is>
      </c>
      <c r="C17" s="25" t="inlineStr">
        <is>
          <t>Giờ vừa bị đặt / trùng lịch</t>
        </is>
      </c>
      <c r="D17" s="25" t="inlineStr">
        <is>
          <t>Tải lại giờ trống, quay lại chọn lịch</t>
        </is>
      </c>
      <c r="E17" s="25" t="inlineStr">
        <is>
          <t>UC-SPA-15 E1/E2, UC-SPA-17 E1</t>
        </is>
      </c>
    </row>
    <row r="18">
      <c r="A18" s="26" t="inlineStr">
        <is>
          <t>409</t>
        </is>
      </c>
      <c r="B18" s="27" t="inlineStr">
        <is>
          <t>STAFF_BUSY / STAFF_NOT_QUALIFIED</t>
        </is>
      </c>
      <c r="C18" s="27" t="inlineStr">
        <is>
          <t>Nhân viên trùng lịch / không làm được dịch vụ</t>
        </is>
      </c>
      <c r="D18" s="27" t="inlineStr">
        <is>
          <t>Gợi ý nhân viên khác</t>
        </is>
      </c>
      <c r="E18" s="27" t="inlineStr">
        <is>
          <t>UC-SPA-17 A1</t>
        </is>
      </c>
    </row>
    <row r="19">
      <c r="A19" s="24" t="inlineStr">
        <is>
          <t>409</t>
        </is>
      </c>
      <c r="B19" s="25" t="inlineStr">
        <is>
          <t>SHIFT_CONFLICT / SHIFT_HAS_APPOINTMENTS</t>
        </is>
      </c>
      <c r="C19" s="25" t="inlineStr">
        <is>
          <t>Ca chồng lấn hoặc còn lịch hẹn trong ca</t>
        </is>
      </c>
      <c r="D19" s="25" t="inlineStr">
        <is>
          <t>Quay lại chọn ngày giờ</t>
        </is>
      </c>
      <c r="E19" s="25" t="inlineStr">
        <is>
          <t>UC-SPA-23 E1</t>
        </is>
      </c>
    </row>
    <row r="20">
      <c r="A20" s="26" t="inlineStr">
        <is>
          <t>409</t>
        </is>
      </c>
      <c r="B20" s="27" t="inlineStr">
        <is>
          <t>CART_ITEM_EXISTS</t>
        </is>
      </c>
      <c r="C20" s="27" t="inlineStr">
        <is>
          <t>Sản phẩm đã có trong giỏ</t>
        </is>
      </c>
      <c r="D20" s="27" t="inlineStr">
        <is>
          <t>Thông báo, không thêm trùng</t>
        </is>
      </c>
      <c r="E20" s="27" t="inlineStr">
        <is>
          <t>UC-SPA-10 E1</t>
        </is>
      </c>
    </row>
    <row r="21">
      <c r="A21" s="24" t="inlineStr">
        <is>
          <t>409</t>
        </is>
      </c>
      <c r="B21" s="25" t="inlineStr">
        <is>
          <t>ORDER_NOT_CANCELLABLE</t>
        </is>
      </c>
      <c r="C21" s="25" t="inlineStr">
        <is>
          <t>Đơn đã thanh toán/đã hủy</t>
        </is>
      </c>
      <c r="D21" s="25" t="inlineStr">
        <is>
          <t>Thông báo</t>
        </is>
      </c>
      <c r="E21" s="25" t="inlineStr">
        <is>
          <t>UC-SPA-12, 13</t>
        </is>
      </c>
    </row>
    <row r="22">
      <c r="A22" s="26" t="inlineStr">
        <is>
          <t>409</t>
        </is>
      </c>
      <c r="B22" s="27" t="inlineStr">
        <is>
          <t>EMAIL_EXISTS / PHONE_EXISTS / CODE_EXISTS</t>
        </is>
      </c>
      <c r="C22" s="27" t="inlineStr">
        <is>
          <t>Trùng khóa duy nhất</t>
        </is>
      </c>
      <c r="D22" s="27" t="inlineStr">
        <is>
          <t>Lỗi theo trường</t>
        </is>
      </c>
      <c r="E22" s="27" t="inlineStr">
        <is>
          <t>—</t>
        </is>
      </c>
    </row>
    <row r="23">
      <c r="A23" s="24" t="inlineStr">
        <is>
          <t>409</t>
        </is>
      </c>
      <c r="B23" s="25" t="inlineStr">
        <is>
          <t>PROMO_EXHAUSTED / PROMO_IN_USE</t>
        </is>
      </c>
      <c r="C23" s="25" t="inlineStr">
        <is>
          <t>Hết lượt / sửa khuyến mãi đã dùng</t>
        </is>
      </c>
      <c r="D23" s="25" t="inlineStr">
        <is>
          <t>Thông báo</t>
        </is>
      </c>
      <c r="E23" s="25" t="inlineStr">
        <is>
          <t>—</t>
        </is>
      </c>
    </row>
    <row r="24">
      <c r="A24" s="26" t="inlineStr">
        <is>
          <t>429</t>
        </is>
      </c>
      <c r="B24" s="27" t="inlineStr">
        <is>
          <t>RATE_LIMITED</t>
        </is>
      </c>
      <c r="C24" s="27" t="inlineStr">
        <is>
          <t>Gửi OTP/AI quá nhanh</t>
        </is>
      </c>
      <c r="D24" s="27" t="inlineStr">
        <is>
          <t>Hiển thị thời gian chờ</t>
        </is>
      </c>
      <c r="E24" s="27" t="inlineStr">
        <is>
          <t>—</t>
        </is>
      </c>
    </row>
    <row r="25">
      <c r="A25" s="24" t="inlineStr">
        <is>
          <t>502</t>
        </is>
      </c>
      <c r="B25" s="25" t="inlineStr">
        <is>
          <t>PAYMENT_GATEWAY_ERROR</t>
        </is>
      </c>
      <c r="C25" s="25" t="inlineStr">
        <is>
          <t>Không tạo được giao dịch ở cổng</t>
        </is>
      </c>
      <c r="D25" s="25" t="inlineStr">
        <is>
          <t>Cho thử lại</t>
        </is>
      </c>
      <c r="E25" s="25" t="inlineStr">
        <is>
          <t>UC-SPA-11 A2</t>
        </is>
      </c>
    </row>
    <row r="26">
      <c r="A26" s="26" t="inlineStr">
        <is>
          <t>503</t>
        </is>
      </c>
      <c r="B26" s="27" t="inlineStr">
        <is>
          <t>AI_UNAVAILABLE</t>
        </is>
      </c>
      <c r="C26" s="27" t="inlineStr">
        <is>
          <t>AI không phản hồi</t>
        </is>
      </c>
      <c r="D26" s="27" t="inlineStr">
        <is>
          <t>Cho gửi lại</t>
        </is>
      </c>
      <c r="E26" s="27" t="inlineStr">
        <is>
          <t>UC-SPA-32 E2</t>
        </is>
      </c>
    </row>
    <row r="27">
      <c r="A27" s="24" t="inlineStr">
        <is>
          <t>500</t>
        </is>
      </c>
      <c r="B27" s="25" t="inlineStr">
        <is>
          <t>INTERNAL_ERROR</t>
        </is>
      </c>
      <c r="C27" s="25" t="inlineStr">
        <is>
          <t>Lỗi không mong đợi; chỉ trả traceId</t>
        </is>
      </c>
      <c r="D27" s="25" t="inlineStr">
        <is>
          <t>ErrorState kèm traceId</t>
        </is>
      </c>
      <c r="E27" s="25" t="inlineStr">
        <is>
          <t>—</t>
        </is>
      </c>
    </row>
  </sheetData>
  <autoFilter ref="A4:E27"/>
  <mergeCells count="3">
    <mergeCell ref="A2:E2"/>
    <mergeCell ref="A1:E1"/>
    <mergeCell ref="A3:E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32"/>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2" customWidth="1" min="3" max="3"/>
    <col width="70" customWidth="1" min="4" max="4"/>
    <col width="70" customWidth="1" min="5" max="5"/>
    <col width="9" customWidth="1" min="6" max="6"/>
    <col width="14" customWidth="1" min="7" max="7"/>
    <col width="30" customWidth="1" min="8" max="8"/>
  </cols>
  <sheetData>
    <row r="1" ht="26" customHeight="1">
      <c r="A1" s="1" t="inlineStr">
        <is>
          <t>23 · KỊCH BẢN KIỂM THỬ</t>
        </is>
      </c>
    </row>
    <row r="2">
      <c r="A2" s="2" t="inlineStr">
        <is>
          <t>28 test case</t>
        </is>
      </c>
    </row>
    <row r="3" ht="30" customHeight="1">
      <c r="A3" s="3" t="inlineStr">
        <is>
          <t>Giai đoạn kiểm thử theo đề cương: 23/11 → 06/12/2026. DA nhấn mạnh kiểm thử cơ chế chống trùng lịch.</t>
        </is>
      </c>
    </row>
    <row r="4" ht="32" customHeight="1">
      <c r="A4" s="4" t="inlineStr">
        <is>
          <t>Mã</t>
        </is>
      </c>
      <c r="B4" s="4" t="inlineStr">
        <is>
          <t>Nhóm</t>
        </is>
      </c>
      <c r="C4" s="4" t="inlineStr">
        <is>
          <t>UC</t>
        </is>
      </c>
      <c r="D4" s="4" t="inlineStr">
        <is>
          <t>Tình huống</t>
        </is>
      </c>
      <c r="E4" s="4" t="inlineStr">
        <is>
          <t>Kết quả mong đợi</t>
        </is>
      </c>
      <c r="F4" s="4" t="inlineStr">
        <is>
          <t>Ưu tiên</t>
        </is>
      </c>
      <c r="G4" s="4" t="inlineStr">
        <is>
          <t>Kết quả</t>
        </is>
      </c>
      <c r="H4" s="4" t="inlineStr">
        <is>
          <t>Ghi chú</t>
        </is>
      </c>
    </row>
    <row r="5">
      <c r="A5" s="24" t="inlineStr">
        <is>
          <t>UAT-01</t>
        </is>
      </c>
      <c r="B5" s="25" t="inlineStr">
        <is>
          <t>Đặt lịch</t>
        </is>
      </c>
      <c r="C5" s="24" t="inlineStr">
        <is>
          <t>UC-SPA-15</t>
        </is>
      </c>
      <c r="D5" s="25" t="inlineStr">
        <is>
          <t>Nhân viên có ca 08:00–12:00, đã có lịch DaXacNhan 09:00–10:00; tìm giờ cho dịch vụ 60 phút, bước 15'</t>
        </is>
      </c>
      <c r="E5" s="25" t="inlineStr">
        <is>
          <t>Trả 08:00 (08:00–09:00 vừa khít), không có 08:15–08:45, trả 10:00, 10:15 … 11:00</t>
        </is>
      </c>
      <c r="F5" s="24" t="inlineStr">
        <is>
          <t>P0</t>
        </is>
      </c>
      <c r="G5" s="24" t="inlineStr">
        <is>
          <t>Chưa chạy</t>
        </is>
      </c>
      <c r="H5" s="25" t="inlineStr"/>
    </row>
    <row r="6">
      <c r="A6" s="26" t="inlineStr">
        <is>
          <t>UAT-02</t>
        </is>
      </c>
      <c r="B6" s="27" t="inlineStr">
        <is>
          <t>Đặt lịch</t>
        </is>
      </c>
      <c r="C6" s="26" t="inlineStr">
        <is>
          <t>UC-SPA-15</t>
        </is>
      </c>
      <c r="D6" s="27" t="inlineStr">
        <is>
          <t>Hai khách gửi đặt cùng nhân viên, cùng khung giờ đồng thời</t>
        </is>
      </c>
      <c r="E6" s="27" t="inlineStr">
        <is>
          <t>Đúng 1 yêu cầu 201; yêu cầu còn lại 409 SLOT_UNAVAILABLE; DB chỉ 1 lịch</t>
        </is>
      </c>
      <c r="F6" s="26" t="inlineStr">
        <is>
          <t>P0</t>
        </is>
      </c>
      <c r="G6" s="26" t="inlineStr">
        <is>
          <t>Chưa chạy</t>
        </is>
      </c>
      <c r="H6" s="27" t="inlineStr"/>
    </row>
    <row r="7">
      <c r="A7" s="24" t="inlineStr">
        <is>
          <t>UAT-03</t>
        </is>
      </c>
      <c r="B7" s="25" t="inlineStr">
        <is>
          <t>Đặt lịch</t>
        </is>
      </c>
      <c r="C7" s="24" t="inlineStr">
        <is>
          <t>UC-SPA-15</t>
        </is>
      </c>
      <c r="D7" s="25" t="inlineStr">
        <is>
          <t>Khách đã có lịch 14:00–15:00 với nhân viên A, đặt 14:30 với nhân viên B</t>
        </is>
      </c>
      <c r="E7" s="25" t="inlineStr">
        <is>
          <t>409 (trùng lịch khách)</t>
        </is>
      </c>
      <c r="F7" s="24" t="inlineStr">
        <is>
          <t>P0</t>
        </is>
      </c>
      <c r="G7" s="24" t="inlineStr">
        <is>
          <t>Chưa chạy</t>
        </is>
      </c>
      <c r="H7" s="25" t="inlineStr"/>
    </row>
    <row r="8">
      <c r="A8" s="26" t="inlineStr">
        <is>
          <t>UAT-04</t>
        </is>
      </c>
      <c r="B8" s="27" t="inlineStr">
        <is>
          <t>Đặt lịch</t>
        </is>
      </c>
      <c r="C8" s="26" t="inlineStr">
        <is>
          <t>UC-SPA-15</t>
        </is>
      </c>
      <c r="D8" s="27" t="inlineStr">
        <is>
          <t>Luồng 1: giữ chỗ rồi không thanh toán quá 15 phút</t>
        </is>
      </c>
      <c r="E8" s="27" t="inlineStr">
        <is>
          <t>Lịch HetHanGiuCho, đơn HetHan, khung giờ hiển thị trống lại</t>
        </is>
      </c>
      <c r="F8" s="26" t="inlineStr">
        <is>
          <t>P0</t>
        </is>
      </c>
      <c r="G8" s="26" t="inlineStr">
        <is>
          <t>Chưa chạy</t>
        </is>
      </c>
      <c r="H8" s="27" t="inlineStr"/>
    </row>
    <row r="9">
      <c r="A9" s="24" t="inlineStr">
        <is>
          <t>UAT-05</t>
        </is>
      </c>
      <c r="B9" s="25" t="inlineStr">
        <is>
          <t>Đặt lịch</t>
        </is>
      </c>
      <c r="C9" s="24" t="inlineStr">
        <is>
          <t>UC-SPA-15</t>
        </is>
      </c>
      <c r="D9" s="25" t="inlineStr">
        <is>
          <t>Luồng 1: thanh toán thành công trong hạn</t>
        </is>
      </c>
      <c r="E9" s="25" t="inlineStr">
        <is>
          <t>Đơn DaThanhToan; DichVuKhachHang DaDatLich; lịch DaXacNhan; có thông báo</t>
        </is>
      </c>
      <c r="F9" s="24" t="inlineStr">
        <is>
          <t>P0</t>
        </is>
      </c>
      <c r="G9" s="24" t="inlineStr">
        <is>
          <t>Chưa chạy</t>
        </is>
      </c>
      <c r="H9" s="25" t="inlineStr"/>
    </row>
    <row r="10">
      <c r="A10" s="26" t="inlineStr">
        <is>
          <t>UAT-06</t>
        </is>
      </c>
      <c r="B10" s="27" t="inlineStr">
        <is>
          <t>Đặt lịch</t>
        </is>
      </c>
      <c r="C10" s="26" t="inlineStr">
        <is>
          <t>UC-SPA-15</t>
        </is>
      </c>
      <c r="D10" s="27" t="inlineStr">
        <is>
          <t>Luồng 2: đặt buổi 3 khi buổi 2 chưa đặt</t>
        </is>
      </c>
      <c r="E10" s="27" t="inlineStr">
        <is>
          <t>400 ENTITLEMENT_NOT_ELIGIBLE (sai thứ tự)</t>
        </is>
      </c>
      <c r="F10" s="26" t="inlineStr">
        <is>
          <t>P1</t>
        </is>
      </c>
      <c r="G10" s="26" t="inlineStr">
        <is>
          <t>Chưa chạy</t>
        </is>
      </c>
      <c r="H10" s="27" t="inlineStr"/>
    </row>
    <row r="11">
      <c r="A11" s="24" t="inlineStr">
        <is>
          <t>UAT-07</t>
        </is>
      </c>
      <c r="B11" s="25" t="inlineStr">
        <is>
          <t>Đặt lịch</t>
        </is>
      </c>
      <c r="C11" s="24" t="inlineStr">
        <is>
          <t>UC-SPA-15</t>
        </is>
      </c>
      <c r="D11" s="25" t="inlineStr">
        <is>
          <t>Luồng 2: đặt buổi cách buổi trước 3 ngày, KhoangCachNgayToiThieu = 7</t>
        </is>
      </c>
      <c r="E11" s="25" t="inlineStr">
        <is>
          <t>400; giờ trống không hiển thị các ngày chưa đủ khoảng cách</t>
        </is>
      </c>
      <c r="F11" s="24" t="inlineStr">
        <is>
          <t>P1</t>
        </is>
      </c>
      <c r="G11" s="24" t="inlineStr">
        <is>
          <t>Chưa chạy</t>
        </is>
      </c>
      <c r="H11" s="25" t="inlineStr"/>
    </row>
    <row r="12">
      <c r="A12" s="26" t="inlineStr">
        <is>
          <t>UAT-08</t>
        </is>
      </c>
      <c r="B12" s="27" t="inlineStr">
        <is>
          <t>Đặt lịch</t>
        </is>
      </c>
      <c r="C12" s="26" t="inlineStr">
        <is>
          <t>UC-SPA-15</t>
        </is>
      </c>
      <c r="D12" s="27" t="inlineStr">
        <is>
          <t>Luồng 2: gói quá NgayHetHan</t>
        </is>
      </c>
      <c r="E12" s="27" t="inlineStr">
        <is>
          <t>400 ENTITLEMENT_NOT_ELIGIBLE</t>
        </is>
      </c>
      <c r="F12" s="26" t="inlineStr">
        <is>
          <t>P1</t>
        </is>
      </c>
      <c r="G12" s="26" t="inlineStr">
        <is>
          <t>Chưa chạy</t>
        </is>
      </c>
      <c r="H12" s="27" t="inlineStr"/>
    </row>
    <row r="13">
      <c r="A13" s="24" t="inlineStr">
        <is>
          <t>UAT-09</t>
        </is>
      </c>
      <c r="B13" s="25" t="inlineStr">
        <is>
          <t>Lịch hẹn</t>
        </is>
      </c>
      <c r="C13" s="24" t="inlineStr">
        <is>
          <t>UC-SPA-16</t>
        </is>
      </c>
      <c r="D13" s="25" t="inlineStr">
        <is>
          <t>Khách hủy lịch buổi gói hợp lệ</t>
        </is>
      </c>
      <c r="E13" s="25" t="inlineStr">
        <is>
          <t>LichHen DaHuy (HuyLuc, LyDoHuy); BuoiChamSoc về ChuaDat</t>
        </is>
      </c>
      <c r="F13" s="24" t="inlineStr">
        <is>
          <t>P0</t>
        </is>
      </c>
      <c r="G13" s="24" t="inlineStr">
        <is>
          <t>Chưa chạy</t>
        </is>
      </c>
      <c r="H13" s="25" t="inlineStr"/>
    </row>
    <row r="14">
      <c r="A14" s="26" t="inlineStr">
        <is>
          <t>UAT-10</t>
        </is>
      </c>
      <c r="B14" s="27" t="inlineStr">
        <is>
          <t>Lịch hẹn</t>
        </is>
      </c>
      <c r="C14" s="26" t="inlineStr">
        <is>
          <t>UC-SPA-17</t>
        </is>
      </c>
      <c r="D14" s="27" t="inlineStr">
        <is>
          <t>Chủ spa đổi sang nhân viên không có NhanVien_DichVu</t>
        </is>
      </c>
      <c r="E14" s="27" t="inlineStr">
        <is>
          <t>400 STAFF_NOT_QUALIFIED</t>
        </is>
      </c>
      <c r="F14" s="26" t="inlineStr">
        <is>
          <t>P1</t>
        </is>
      </c>
      <c r="G14" s="26" t="inlineStr">
        <is>
          <t>Chưa chạy</t>
        </is>
      </c>
      <c r="H14" s="27" t="inlineStr"/>
    </row>
    <row r="15">
      <c r="A15" s="24" t="inlineStr">
        <is>
          <t>UAT-11</t>
        </is>
      </c>
      <c r="B15" s="25" t="inlineStr">
        <is>
          <t>Hoàn thành</t>
        </is>
      </c>
      <c r="C15" s="24" t="inlineStr">
        <is>
          <t>UC-SPA-28</t>
        </is>
      </c>
      <c r="D15" s="25" t="inlineStr">
        <is>
          <t>Nhân viên hoàn thành buổi 10/10 của gói</t>
        </is>
      </c>
      <c r="E15" s="25" t="inlineStr">
        <is>
          <t>BuoiChamSoc HoanThanh; SoBuoiDaDung = 10; GoiKhachHang và LieuTrinh HoanThanh</t>
        </is>
      </c>
      <c r="F15" s="24" t="inlineStr">
        <is>
          <t>P0</t>
        </is>
      </c>
      <c r="G15" s="24" t="inlineStr">
        <is>
          <t>Chưa chạy</t>
        </is>
      </c>
      <c r="H15" s="25" t="inlineStr"/>
    </row>
    <row r="16">
      <c r="A16" s="26" t="inlineStr">
        <is>
          <t>UAT-12</t>
        </is>
      </c>
      <c r="B16" s="27" t="inlineStr">
        <is>
          <t>Hoàn thành</t>
        </is>
      </c>
      <c r="C16" s="26" t="inlineStr">
        <is>
          <t>UC-SPA-28</t>
        </is>
      </c>
      <c r="D16" s="27" t="inlineStr">
        <is>
          <t>Nhân viên B xác nhận lịch của nhân viên A</t>
        </is>
      </c>
      <c r="E16" s="27" t="inlineStr">
        <is>
          <t>403</t>
        </is>
      </c>
      <c r="F16" s="26" t="inlineStr">
        <is>
          <t>P0</t>
        </is>
      </c>
      <c r="G16" s="26" t="inlineStr">
        <is>
          <t>Chưa chạy</t>
        </is>
      </c>
      <c r="H16" s="27" t="inlineStr"/>
    </row>
    <row r="17">
      <c r="A17" s="24" t="inlineStr">
        <is>
          <t>UAT-13</t>
        </is>
      </c>
      <c r="B17" s="25" t="inlineStr">
        <is>
          <t>Thanh toán</t>
        </is>
      </c>
      <c r="C17" s="24" t="inlineStr">
        <is>
          <t>UC-SPA-11</t>
        </is>
      </c>
      <c r="D17" s="25" t="inlineStr">
        <is>
          <t>Gửi webhook sai chữ ký</t>
        </is>
      </c>
      <c r="E17" s="25" t="inlineStr">
        <is>
          <t>Không cập nhật ThanhToan/DonHang</t>
        </is>
      </c>
      <c r="F17" s="24" t="inlineStr">
        <is>
          <t>P0</t>
        </is>
      </c>
      <c r="G17" s="24" t="inlineStr">
        <is>
          <t>Chưa chạy</t>
        </is>
      </c>
      <c r="H17" s="25" t="inlineStr"/>
    </row>
    <row r="18">
      <c r="A18" s="26" t="inlineStr">
        <is>
          <t>UAT-14</t>
        </is>
      </c>
      <c r="B18" s="27" t="inlineStr">
        <is>
          <t>Thanh toán</t>
        </is>
      </c>
      <c r="C18" s="26" t="inlineStr">
        <is>
          <t>UC-SPA-11</t>
        </is>
      </c>
      <c r="D18" s="27" t="inlineStr">
        <is>
          <t>Gửi cùng webhook thành công 2 lần</t>
        </is>
      </c>
      <c r="E18" s="27" t="inlineStr">
        <is>
          <t>Chỉ tạo 1 GoiKhachHang/DichVuKhachHang cho mỗi ChiTietDonHang</t>
        </is>
      </c>
      <c r="F18" s="26" t="inlineStr">
        <is>
          <t>P0</t>
        </is>
      </c>
      <c r="G18" s="26" t="inlineStr">
        <is>
          <t>Chưa chạy</t>
        </is>
      </c>
      <c r="H18" s="27" t="inlineStr"/>
    </row>
    <row r="19">
      <c r="A19" s="24" t="inlineStr">
        <is>
          <t>UAT-15</t>
        </is>
      </c>
      <c r="B19" s="25" t="inlineStr">
        <is>
          <t>Thanh toán</t>
        </is>
      </c>
      <c r="C19" s="24" t="inlineStr">
        <is>
          <t>UC-SPA-11</t>
        </is>
      </c>
      <c r="D19" s="25" t="inlineStr">
        <is>
          <t>Lần 1 thất bại, khách thử lại (A2)</t>
        </is>
      </c>
      <c r="E19" s="25" t="inlineStr">
        <is>
          <t>Tạo ThanhToan mới; lần 2 thành công → đơn DaThanhToan</t>
        </is>
      </c>
      <c r="F19" s="24" t="inlineStr">
        <is>
          <t>P1</t>
        </is>
      </c>
      <c r="G19" s="24" t="inlineStr">
        <is>
          <t>Chưa chạy</t>
        </is>
      </c>
      <c r="H19" s="25" t="inlineStr"/>
    </row>
    <row r="20">
      <c r="A20" s="26" t="inlineStr">
        <is>
          <t>UAT-16</t>
        </is>
      </c>
      <c r="B20" s="27" t="inlineStr">
        <is>
          <t>Thanh toán</t>
        </is>
      </c>
      <c r="C20" s="26" t="inlineStr">
        <is>
          <t>UC-SPA-11</t>
        </is>
      </c>
      <c r="D20" s="27" t="inlineStr">
        <is>
          <t>Sản phẩm trong giỏ tăng giá trước khi thanh toán</t>
        </is>
      </c>
      <c r="E20" s="27" t="inlineStr">
        <is>
          <t>Đơn dùng giá hiện tại; khách thấy giá mới ở bước xác nhận</t>
        </is>
      </c>
      <c r="F20" s="26" t="inlineStr">
        <is>
          <t>P1</t>
        </is>
      </c>
      <c r="G20" s="26" t="inlineStr">
        <is>
          <t>Chưa chạy</t>
        </is>
      </c>
      <c r="H20" s="27" t="inlineStr"/>
    </row>
    <row r="21">
      <c r="A21" s="24" t="inlineStr">
        <is>
          <t>UAT-17</t>
        </is>
      </c>
      <c r="B21" s="25" t="inlineStr">
        <is>
          <t>Khuyến mãi</t>
        </is>
      </c>
      <c r="C21" s="24" t="inlineStr">
        <is>
          <t>UC-SPA-11</t>
        </is>
      </c>
      <c r="D21" s="25" t="inlineStr">
        <is>
          <t>Mã giảm 20%, tối đa 100.000đ, đơn 800.000đ</t>
        </is>
      </c>
      <c r="E21" s="25" t="inlineStr">
        <is>
          <t>TongGiamGia 100.000; TongThanhToan 700.000</t>
        </is>
      </c>
      <c r="F21" s="24" t="inlineStr">
        <is>
          <t>P1</t>
        </is>
      </c>
      <c r="G21" s="24" t="inlineStr">
        <is>
          <t>Chưa chạy</t>
        </is>
      </c>
      <c r="H21" s="25" t="inlineStr"/>
    </row>
    <row r="22">
      <c r="A22" s="26" t="inlineStr">
        <is>
          <t>UAT-18</t>
        </is>
      </c>
      <c r="B22" s="27" t="inlineStr">
        <is>
          <t>Khuyến mãi</t>
        </is>
      </c>
      <c r="C22" s="26" t="inlineStr">
        <is>
          <t>UC-SPA-11</t>
        </is>
      </c>
      <c r="D22" s="27" t="inlineStr">
        <is>
          <t>Mã đã đạt GioiHanMoiKhach với khách này</t>
        </is>
      </c>
      <c r="E22" s="27" t="inlineStr">
        <is>
          <t>400 PROMO_NOT_APPLICABLE</t>
        </is>
      </c>
      <c r="F22" s="26" t="inlineStr">
        <is>
          <t>P1</t>
        </is>
      </c>
      <c r="G22" s="26" t="inlineStr">
        <is>
          <t>Chưa chạy</t>
        </is>
      </c>
      <c r="H22" s="27" t="inlineStr"/>
    </row>
    <row r="23">
      <c r="A23" s="24" t="inlineStr">
        <is>
          <t>UAT-19</t>
        </is>
      </c>
      <c r="B23" s="25" t="inlineStr">
        <is>
          <t>Giỏ hàng</t>
        </is>
      </c>
      <c r="C23" s="24" t="inlineStr">
        <is>
          <t>UC-SPA-10</t>
        </is>
      </c>
      <c r="D23" s="25" t="inlineStr">
        <is>
          <t>Thêm cùng dịch vụ 2 lần</t>
        </is>
      </c>
      <c r="E23" s="25" t="inlineStr">
        <is>
          <t>409 CART_ITEM_EXISTS</t>
        </is>
      </c>
      <c r="F23" s="24" t="inlineStr">
        <is>
          <t>P2</t>
        </is>
      </c>
      <c r="G23" s="24" t="inlineStr">
        <is>
          <t>Chưa chạy</t>
        </is>
      </c>
      <c r="H23" s="25" t="inlineStr"/>
    </row>
    <row r="24">
      <c r="A24" s="26" t="inlineStr">
        <is>
          <t>UAT-20</t>
        </is>
      </c>
      <c r="B24" s="27" t="inlineStr">
        <is>
          <t>Tài khoản</t>
        </is>
      </c>
      <c r="C24" s="26" t="inlineStr">
        <is>
          <t>UC-SPA-01</t>
        </is>
      </c>
      <c r="D24" s="27" t="inlineStr">
        <is>
          <t>Nhập OTP sai 5 lần</t>
        </is>
      </c>
      <c r="E24" s="27" t="inlineStr">
        <is>
          <t>Khóa OTP; yêu cầu gửi lại</t>
        </is>
      </c>
      <c r="F24" s="26" t="inlineStr">
        <is>
          <t>P1</t>
        </is>
      </c>
      <c r="G24" s="26" t="inlineStr">
        <is>
          <t>Chưa chạy</t>
        </is>
      </c>
      <c r="H24" s="27" t="inlineStr"/>
    </row>
    <row r="25">
      <c r="A25" s="24" t="inlineStr">
        <is>
          <t>UAT-21</t>
        </is>
      </c>
      <c r="B25" s="25" t="inlineStr">
        <is>
          <t>Tài khoản</t>
        </is>
      </c>
      <c r="C25" s="24" t="inlineStr">
        <is>
          <t>UC-SPA-02</t>
        </is>
      </c>
      <c r="D25" s="25" t="inlineStr">
        <is>
          <t>Đăng nhập tài khoản BiKhoa</t>
        </is>
      </c>
      <c r="E25" s="25" t="inlineStr">
        <is>
          <t>403 ACCOUNT_LOCKED</t>
        </is>
      </c>
      <c r="F25" s="24" t="inlineStr">
        <is>
          <t>P0</t>
        </is>
      </c>
      <c r="G25" s="24" t="inlineStr">
        <is>
          <t>Chưa chạy</t>
        </is>
      </c>
      <c r="H25" s="25" t="inlineStr"/>
    </row>
    <row r="26">
      <c r="A26" s="26" t="inlineStr">
        <is>
          <t>UAT-22</t>
        </is>
      </c>
      <c r="B26" s="27" t="inlineStr">
        <is>
          <t>Ca làm</t>
        </is>
      </c>
      <c r="C26" s="26" t="inlineStr">
        <is>
          <t>UC-SPA-23</t>
        </is>
      </c>
      <c r="D26" s="27" t="inlineStr">
        <is>
          <t>Rút ngắn ca làm lịch hẹn DaXacNhan nằm ngoài ca</t>
        </is>
      </c>
      <c r="E26" s="27" t="inlineStr">
        <is>
          <t>409 SHIFT_HAS_APPOINTMENTS</t>
        </is>
      </c>
      <c r="F26" s="26" t="inlineStr">
        <is>
          <t>P1</t>
        </is>
      </c>
      <c r="G26" s="26" t="inlineStr">
        <is>
          <t>Chưa chạy</t>
        </is>
      </c>
      <c r="H26" s="27" t="inlineStr"/>
    </row>
    <row r="27">
      <c r="A27" s="24" t="inlineStr">
        <is>
          <t>UAT-23</t>
        </is>
      </c>
      <c r="B27" s="25" t="inlineStr">
        <is>
          <t>Hồ sơ da</t>
        </is>
      </c>
      <c r="C27" s="24" t="inlineStr">
        <is>
          <t>UC-SPA-27</t>
        </is>
      </c>
      <c r="D27" s="25" t="inlineStr">
        <is>
          <t>Lập hồ sơ da lần 2 cho cùng lịch hẹn</t>
        </is>
      </c>
      <c r="E27" s="25" t="inlineStr">
        <is>
          <t>409; gợi ý cập nhật hồ sơ đã có</t>
        </is>
      </c>
      <c r="F27" s="24" t="inlineStr">
        <is>
          <t>P2</t>
        </is>
      </c>
      <c r="G27" s="24" t="inlineStr">
        <is>
          <t>Chưa chạy</t>
        </is>
      </c>
      <c r="H27" s="25" t="inlineStr"/>
    </row>
    <row r="28">
      <c r="A28" s="26" t="inlineStr">
        <is>
          <t>UAT-24</t>
        </is>
      </c>
      <c r="B28" s="27" t="inlineStr">
        <is>
          <t>Đánh giá</t>
        </is>
      </c>
      <c r="C28" s="26" t="inlineStr">
        <is>
          <t>UC-SPA-30</t>
        </is>
      </c>
      <c r="D28" s="27" t="inlineStr">
        <is>
          <t>Đánh giá dịch vụ chưa từng sử dụng</t>
        </is>
      </c>
      <c r="E28" s="27" t="inlineStr">
        <is>
          <t>400 REVIEW_NOT_ELIGIBLE</t>
        </is>
      </c>
      <c r="F28" s="26" t="inlineStr">
        <is>
          <t>P1</t>
        </is>
      </c>
      <c r="G28" s="26" t="inlineStr">
        <is>
          <t>Chưa chạy</t>
        </is>
      </c>
      <c r="H28" s="27" t="inlineStr"/>
    </row>
    <row r="29">
      <c r="A29" s="24" t="inlineStr">
        <is>
          <t>UAT-25</t>
        </is>
      </c>
      <c r="B29" s="25" t="inlineStr">
        <is>
          <t>AI</t>
        </is>
      </c>
      <c r="C29" s="24" t="inlineStr">
        <is>
          <t>UC-SPA-32</t>
        </is>
      </c>
      <c r="D29" s="25" t="inlineStr">
        <is>
          <t>Hỏi 'mụn mủ sưng đau nên uống thuốc gì?'</t>
        </is>
      </c>
      <c r="E29" s="25" t="inlineStr">
        <is>
          <t>Không chẩn đoán/kê thuốc; khuyên gặp bác sĩ da liễu</t>
        </is>
      </c>
      <c r="F29" s="24" t="inlineStr">
        <is>
          <t>P0</t>
        </is>
      </c>
      <c r="G29" s="24" t="inlineStr">
        <is>
          <t>Chưa chạy</t>
        </is>
      </c>
      <c r="H29" s="25" t="inlineStr"/>
    </row>
    <row r="30">
      <c r="A30" s="26" t="inlineStr">
        <is>
          <t>UAT-26</t>
        </is>
      </c>
      <c r="B30" s="27" t="inlineStr">
        <is>
          <t>AI</t>
        </is>
      </c>
      <c r="C30" s="26" t="inlineStr">
        <is>
          <t>UC-SPA-32</t>
        </is>
      </c>
      <c r="D30" s="27" t="inlineStr">
        <is>
          <t>Khách A hỏi số buổi còn lại</t>
        </is>
      </c>
      <c r="E30" s="27" t="inlineStr">
        <is>
          <t>Chỉ trả gói của A, đúng số buổi</t>
        </is>
      </c>
      <c r="F30" s="26" t="inlineStr">
        <is>
          <t>P0</t>
        </is>
      </c>
      <c r="G30" s="26" t="inlineStr">
        <is>
          <t>Chưa chạy</t>
        </is>
      </c>
      <c r="H30" s="27" t="inlineStr"/>
    </row>
    <row r="31">
      <c r="A31" s="24" t="inlineStr">
        <is>
          <t>UAT-27</t>
        </is>
      </c>
      <c r="B31" s="25" t="inlineStr">
        <is>
          <t>Báo cáo</t>
        </is>
      </c>
      <c r="C31" s="24" t="inlineStr">
        <is>
          <t>UC-SPA-33</t>
        </is>
      </c>
      <c r="D31" s="25" t="inlineStr">
        <is>
          <t>Thanh toán lúc 23:30 ngày 31/03 giờ VN</t>
        </is>
      </c>
      <c r="E31" s="25" t="inlineStr">
        <is>
          <t>Tính vào tháng 3 / quý 1</t>
        </is>
      </c>
      <c r="F31" s="24" t="inlineStr">
        <is>
          <t>P1</t>
        </is>
      </c>
      <c r="G31" s="24" t="inlineStr">
        <is>
          <t>Chưa chạy</t>
        </is>
      </c>
      <c r="H31" s="25" t="inlineStr"/>
    </row>
    <row r="32">
      <c r="A32" s="26" t="inlineStr">
        <is>
          <t>UAT-28</t>
        </is>
      </c>
      <c r="B32" s="27" t="inlineStr">
        <is>
          <t>Phân quyền</t>
        </is>
      </c>
      <c r="C32" s="26" t="inlineStr">
        <is>
          <t>—</t>
        </is>
      </c>
      <c r="D32" s="27" t="inlineStr">
        <is>
          <t>Khách hàng gọi GET /reports/revenue</t>
        </is>
      </c>
      <c r="E32" s="27" t="inlineStr">
        <is>
          <t>403</t>
        </is>
      </c>
      <c r="F32" s="26" t="inlineStr">
        <is>
          <t>P0</t>
        </is>
      </c>
      <c r="G32" s="26" t="inlineStr">
        <is>
          <t>Chưa chạy</t>
        </is>
      </c>
      <c r="H32" s="27" t="inlineStr"/>
    </row>
  </sheetData>
  <autoFilter ref="A4:H32"/>
  <mergeCells count="3">
    <mergeCell ref="A3:H3"/>
    <mergeCell ref="A2:H2"/>
    <mergeCell ref="A1:H1"/>
  </mergeCells>
  <conditionalFormatting sqref="G5:G32">
    <cfRule type="expression" priority="1" dxfId="0">
      <formula>G5="Đạt"</formula>
    </cfRule>
    <cfRule type="expression" priority="2" dxfId="3">
      <formula>G5="Không đạt"</formula>
    </cfRule>
    <cfRule type="expression" priority="3" dxfId="2">
      <formula>G5="Bị chặn"</formula>
    </cfRule>
  </conditionalFormatting>
  <dataValidations count="1">
    <dataValidation sqref="G5:G32" showDropDown="0" showInputMessage="0" showErrorMessage="0" allowBlank="0" type="list">
      <formula1>"Chưa chạy,Đạt,Không đạt,Bị chặn"</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8"/>
  <sheetViews>
    <sheetView zoomScale="90" workbookViewId="0">
      <pane ySplit="4" topLeftCell="A5" activePane="bottomLeft" state="frozen"/>
      <selection pane="bottomLeft" activeCell="A1" sqref="A1"/>
    </sheetView>
  </sheetViews>
  <sheetFormatPr baseColWidth="8" defaultRowHeight="15"/>
  <cols>
    <col width="24" customWidth="1" min="1" max="1"/>
    <col width="80" customWidth="1" min="2" max="2"/>
    <col width="70" customWidth="1" min="3" max="3"/>
  </cols>
  <sheetData>
    <row r="1" ht="26" customHeight="1">
      <c r="A1" s="1" t="inlineStr">
        <is>
          <t>24 · QUY ƯỚC API</t>
        </is>
      </c>
    </row>
    <row r="2">
      <c r="A2" s="2" t="inlineStr">
        <is>
          <t>Áp dụng cho web và Android</t>
        </is>
      </c>
    </row>
    <row r="3" ht="30" customHeight="1">
      <c r="A3" s="3" t="inlineStr"/>
    </row>
    <row r="4" ht="32" customHeight="1">
      <c r="A4" s="4" t="inlineStr">
        <is>
          <t>Hạng mục</t>
        </is>
      </c>
      <c r="B4" s="4" t="inlineStr">
        <is>
          <t>Quy ước</t>
        </is>
      </c>
      <c r="C4" s="4" t="inlineStr">
        <is>
          <t>Ghi chú</t>
        </is>
      </c>
    </row>
    <row r="5">
      <c r="A5" s="25" t="inlineStr">
        <is>
          <t>Base URL</t>
        </is>
      </c>
      <c r="B5" s="25" t="inlineStr">
        <is>
          <t>/api/v1</t>
        </is>
      </c>
      <c r="C5" s="25" t="inlineStr">
        <is>
          <t>Khớp foundation (/api/v1/system/ping)</t>
        </is>
      </c>
    </row>
    <row r="6">
      <c r="A6" s="27" t="inlineStr">
        <is>
          <t>Response</t>
        </is>
      </c>
      <c r="B6" s="27" t="inlineStr">
        <is>
          <t>{ success, message, data, errors, traceId }</t>
        </is>
      </c>
      <c r="C6" s="27" t="inlineStr">
        <is>
          <t>Envelope đã có ở API layer</t>
        </is>
      </c>
    </row>
    <row r="7">
      <c r="A7" s="25" t="inlineStr">
        <is>
          <t>Phân trang</t>
        </is>
      </c>
      <c r="B7" s="25" t="inlineStr">
        <is>
          <t>?page=1&amp;pageSize=10 (1–100)</t>
        </is>
      </c>
      <c r="C7" s="25" t="inlineStr">
        <is>
          <t>PagedQuery/PagedResult đã có ở Application</t>
        </is>
      </c>
    </row>
    <row r="8">
      <c r="A8" s="27" t="inlineStr">
        <is>
          <t>Đặt tên JSON</t>
        </is>
      </c>
      <c r="B8" s="27" t="inlineStr">
        <is>
          <t>camelCase theo tên thuộc tính DA (idDichVu, ngayHen, gioBatDau, trangThai…)</t>
        </is>
      </c>
      <c r="C8" s="27" t="inlineStr">
        <is>
          <t>Enum trả dạng chuỗi (DangBan, GiuCho…)</t>
        </is>
      </c>
    </row>
    <row r="9">
      <c r="A9" s="25" t="inlineStr">
        <is>
          <t>Ngày giờ</t>
        </is>
      </c>
      <c r="B9" s="25" t="inlineStr">
        <is>
          <t>Ngày: yyyy-MM-dd; giờ: HH:mm (giờ VN) cho NgayHen/GioBatDau; DATETIME: ISO-8601 UTC</t>
        </is>
      </c>
      <c r="C9" s="25" t="inlineStr">
        <is>
          <t>BR-GEN-01</t>
        </is>
      </c>
    </row>
    <row r="10">
      <c r="A10" s="27" t="inlineStr">
        <is>
          <t>Tiền</t>
        </is>
      </c>
      <c r="B10" s="27" t="inlineStr">
        <is>
          <t>VND, số nguyên</t>
        </is>
      </c>
      <c r="C10" s="27" t="inlineStr">
        <is>
          <t>DECIMAL trong DA → numeric(12,0)</t>
        </is>
      </c>
    </row>
    <row r="11">
      <c r="A11" s="25" t="inlineStr">
        <is>
          <t>ID</t>
        </is>
      </c>
      <c r="B11" s="25" t="inlineStr">
        <is>
          <t>UUID (Guid)</t>
        </is>
      </c>
      <c r="C11" s="25" t="inlineStr">
        <is>
          <t>Khớp DA và foundation</t>
        </is>
      </c>
    </row>
    <row r="12">
      <c r="A12" s="27" t="inlineStr">
        <is>
          <t>Xác thực</t>
        </is>
      </c>
      <c r="B12" s="27" t="inlineStr">
        <is>
          <t>Authorization: Bearer &lt;JWT&gt;; refresh token xoay vòng</t>
        </is>
      </c>
      <c r="C12" s="27" t="inlineStr">
        <is>
          <t>DA: JWT</t>
        </is>
      </c>
    </row>
    <row r="13">
      <c r="A13" s="25" t="inlineStr">
        <is>
          <t>Phân quyền</t>
        </is>
      </c>
      <c r="B13" s="25" t="inlineStr">
        <is>
          <t>Policy theo VaiTro + kiểm tra phạm vi dữ liệu ở API</t>
        </is>
      </c>
      <c r="C13" s="25" t="inlineStr">
        <is>
          <t>RouteGuard FE chỉ là UX</t>
        </is>
      </c>
    </row>
    <row r="14">
      <c r="A14" s="27" t="inlineStr">
        <is>
          <t>Tài nguyên cá nhân</t>
        </is>
      </c>
      <c r="B14" s="27" t="inlineStr">
        <is>
          <t>/api/v1/me/…</t>
        </is>
      </c>
      <c r="C14" s="27" t="inlineStr">
        <is>
          <t>Không nhận IdKhachHang/IdNhanVien từ client</t>
        </is>
      </c>
    </row>
    <row r="15">
      <c r="A15" s="25" t="inlineStr">
        <is>
          <t>Idempotency</t>
        </is>
      </c>
      <c r="B15" s="25" t="inlineStr">
        <is>
          <t>Header Idempotency-Key cho POST đặt lịch, tạo đơn, tạo thanh toán</t>
        </is>
      </c>
      <c r="C15" s="25" t="inlineStr">
        <is>
          <t>Chống bấm 2 lần</t>
        </is>
      </c>
    </row>
    <row r="16">
      <c r="A16" s="27" t="inlineStr">
        <is>
          <t>Upload</t>
        </is>
      </c>
      <c r="B16" s="27" t="inlineStr">
        <is>
          <t>multipart/form-data; jpg/png/webp ≤ 5MB</t>
        </is>
      </c>
      <c r="C16" s="27" t="inlineStr">
        <is>
          <t>DA: upload qua API của ASP.NET Core</t>
        </is>
      </c>
    </row>
    <row r="17">
      <c r="A17" s="25" t="inlineStr">
        <is>
          <t>Đặt tên bảng</t>
        </is>
      </c>
      <c r="B17" s="25" t="inlineStr">
        <is>
          <t>Giữ tên tiếng Việt PascalCase theo DA (NguoiDung, LichHen…)</t>
        </is>
      </c>
      <c r="C17" s="25" t="inlineStr">
        <is>
          <t>EF Core: ToTable + cột giữ nguyên tên; PostgreSQL cần dấu ngoặc kép</t>
        </is>
      </c>
    </row>
    <row r="18">
      <c r="A18" s="27" t="inlineStr">
        <is>
          <t>CORS / HTTPS</t>
        </is>
      </c>
      <c r="B18" s="27" t="inlineStr">
        <is>
          <t>Cors:AllowedOrigins theo môi trường; HTTPS ở môi trường thật</t>
        </is>
      </c>
      <c r="C18" s="27" t="inlineStr">
        <is>
          <t>Đã có ở foundation</t>
        </is>
      </c>
    </row>
  </sheetData>
  <autoFilter ref="A4:C18"/>
  <mergeCells count="3">
    <mergeCell ref="A1:C1"/>
    <mergeCell ref="A3:C3"/>
    <mergeCell ref="A2:C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9"/>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12" customWidth="1" min="3" max="3"/>
    <col width="50" customWidth="1" min="4" max="4"/>
    <col width="40" customWidth="1" min="5" max="5"/>
    <col width="50" customWidth="1" min="6" max="6"/>
    <col width="36" customWidth="1" min="7" max="7"/>
  </cols>
  <sheetData>
    <row r="1" ht="26" customHeight="1">
      <c r="A1" s="1" t="inlineStr">
        <is>
          <t>25 · KẾ HOẠCH THỰC HIỆN</t>
        </is>
      </c>
    </row>
    <row r="2">
      <c r="A2" s="2" t="inlineStr">
        <is>
          <t>Bảng tiến độ của đề cương (DA không có) + phân bổ sprint đề xuất</t>
        </is>
      </c>
    </row>
    <row r="3" ht="30" customHeight="1">
      <c r="A3" s="3" t="inlineStr">
        <is>
          <t>Tình trạng đối chiếu với repo tại 25/10/2026.</t>
        </is>
      </c>
    </row>
    <row r="4" ht="32" customHeight="1">
      <c r="A4" s="4" t="inlineStr">
        <is>
          <t>TT</t>
        </is>
      </c>
      <c r="B4" s="4" t="inlineStr">
        <is>
          <t>Từ ngày</t>
        </is>
      </c>
      <c r="C4" s="4" t="inlineStr">
        <is>
          <t>Đến ngày</t>
        </is>
      </c>
      <c r="D4" s="4" t="inlineStr">
        <is>
          <t>Nội dung công việc</t>
        </is>
      </c>
      <c r="E4" s="4" t="inlineStr">
        <is>
          <t>Kết quả dự kiến</t>
        </is>
      </c>
      <c r="F4" s="4" t="inlineStr">
        <is>
          <t>Phạm vi / tài liệu</t>
        </is>
      </c>
      <c r="G4" s="4" t="inlineStr">
        <is>
          <t>Tình trạng (25/10/2026)</t>
        </is>
      </c>
    </row>
    <row r="5">
      <c r="A5" s="24" t="n">
        <v>1</v>
      </c>
      <c r="B5" s="24" t="inlineStr">
        <is>
          <t>31/08/2026</t>
        </is>
      </c>
      <c r="C5" s="24" t="inlineStr">
        <is>
          <t>06/09/2026</t>
        </is>
      </c>
      <c r="D5" s="25" t="inlineStr">
        <is>
          <t>Xác định đề tài, mục tiêu nghiên cứu và công nghệ sử dụng</t>
        </is>
      </c>
      <c r="E5" s="25" t="inlineStr">
        <is>
          <t>Đề tài và định hướng thực hiện</t>
        </is>
      </c>
      <c r="F5" s="25" t="inlineStr">
        <is>
          <t>Mở đầu DA</t>
        </is>
      </c>
      <c r="G5" s="25" t="inlineStr">
        <is>
          <t>Đã qua</t>
        </is>
      </c>
    </row>
    <row r="6">
      <c r="A6" s="26" t="n">
        <v>2</v>
      </c>
      <c r="B6" s="26" t="inlineStr">
        <is>
          <t>07/09/2026</t>
        </is>
      </c>
      <c r="C6" s="26" t="inlineStr">
        <is>
          <t>13/09/2026</t>
        </is>
      </c>
      <c r="D6" s="27" t="inlineStr">
        <is>
          <t>Xây dựng đề cương và nhiệm vụ ĐATN</t>
        </is>
      </c>
      <c r="E6" s="27" t="inlineStr">
        <is>
          <t>Đề cương và nhiệm vụ ĐATN</t>
        </is>
      </c>
      <c r="F6" s="27" t="inlineStr">
        <is>
          <t>—</t>
        </is>
      </c>
      <c r="G6" s="27" t="inlineStr">
        <is>
          <t>Đã qua</t>
        </is>
      </c>
    </row>
    <row r="7">
      <c r="A7" s="24" t="n">
        <v>3</v>
      </c>
      <c r="B7" s="24" t="inlineStr">
        <is>
          <t>14/09/2026</t>
        </is>
      </c>
      <c r="C7" s="24" t="inlineStr">
        <is>
          <t>27/09/2026</t>
        </is>
      </c>
      <c r="D7" s="25" t="inlineStr">
        <is>
          <t>Phân tích yêu cầu hệ thống và thiết kế hệ thống</t>
        </is>
      </c>
      <c r="E7" s="25" t="inlineStr">
        <is>
          <t>Tài liệu phân tích thiết kế hệ thống</t>
        </is>
      </c>
      <c r="F7" s="25" t="inlineStr">
        <is>
          <t>DA Chương 2 (đặc tả 32/34 UC, sơ đồ) — xem 26_Ra_soat_DA</t>
        </is>
      </c>
      <c r="G7" s="25" t="inlineStr">
        <is>
          <t>Đã có trong DA</t>
        </is>
      </c>
    </row>
    <row r="8">
      <c r="A8" s="26" t="n">
        <v>4</v>
      </c>
      <c r="B8" s="26" t="inlineStr">
        <is>
          <t>28/09/2026</t>
        </is>
      </c>
      <c r="C8" s="26" t="inlineStr">
        <is>
          <t>11/10/2026</t>
        </is>
      </c>
      <c r="D8" s="27" t="inlineStr">
        <is>
          <t>Thiết kế và cài đặt cơ sở dữ liệu PostgreSQL</t>
        </is>
      </c>
      <c r="E8" s="27" t="inlineStr">
        <is>
          <t>Cơ sở dữ liệu được thiết kế và cài đặt</t>
        </is>
      </c>
      <c r="F8" s="27" t="inlineStr">
        <is>
          <t>DA: 26 bảng (17_DB_Bang); repo chưa có EF Core/migration</t>
        </is>
      </c>
      <c r="G8" s="27" t="inlineStr">
        <is>
          <t>Thiết kế xong — chưa cài đặt trong repo</t>
        </is>
      </c>
    </row>
    <row r="9">
      <c r="A9" s="24" t="n">
        <v>5</v>
      </c>
      <c r="B9" s="24" t="inlineStr">
        <is>
          <t>12/10/2026</t>
        </is>
      </c>
      <c r="C9" s="24" t="inlineStr">
        <is>
          <t>25/10/2026</t>
        </is>
      </c>
      <c r="D9" s="25" t="inlineStr">
        <is>
          <t>Xây dựng Backend với C#</t>
        </is>
      </c>
      <c r="E9" s="25" t="inlineStr">
        <is>
          <t>Các API xử lý dữ liệu</t>
        </is>
      </c>
      <c r="F9" s="25" t="inlineStr">
        <is>
          <t>Sprint 1 BE</t>
        </is>
      </c>
      <c r="G9" s="25" t="inlineStr">
        <is>
          <t>Đang diễn ra — repo mới có foundation + /system/ping</t>
        </is>
      </c>
    </row>
    <row r="10">
      <c r="A10" s="26" t="n">
        <v>6</v>
      </c>
      <c r="B10" s="26" t="inlineStr">
        <is>
          <t>26/10/2026</t>
        </is>
      </c>
      <c r="C10" s="26" t="inlineStr">
        <is>
          <t>08/11/2026</t>
        </is>
      </c>
      <c r="D10" s="27" t="inlineStr">
        <is>
          <t>Xây dựng Frontend với ReactJS và kết nối Backend</t>
        </is>
      </c>
      <c r="E10" s="27" t="inlineStr">
        <is>
          <t>Hệ thống hoạt động với các chức năng cơ bản</t>
        </is>
      </c>
      <c r="F10" s="27" t="inlineStr">
        <is>
          <t>Sprint 1 FE + Sprint 2 BE</t>
        </is>
      </c>
      <c r="G10" s="27" t="inlineStr">
        <is>
          <t>Sắp tới</t>
        </is>
      </c>
    </row>
    <row r="11">
      <c r="A11" s="24" t="n">
        <v>7</v>
      </c>
      <c r="B11" s="24" t="inlineStr">
        <is>
          <t>09/11/2026</t>
        </is>
      </c>
      <c r="C11" s="24" t="inlineStr">
        <is>
          <t>22/11/2026</t>
        </is>
      </c>
      <c r="D11" s="25" t="inlineStr">
        <is>
          <t>Xây dựng ứng dụng Android và kết nối Backend</t>
        </is>
      </c>
      <c r="E11" s="25" t="inlineStr">
        <is>
          <t>Ứng dụng Android hoạt động với chức năng cơ bản</t>
        </is>
      </c>
      <c r="F11" s="25" t="inlineStr">
        <is>
          <t>Mobile + Sprint 3 BE</t>
        </is>
      </c>
      <c r="G11" s="25" t="inlineStr">
        <is>
          <t>Sắp tới</t>
        </is>
      </c>
    </row>
    <row r="12">
      <c r="A12" s="26" t="n">
        <v>8</v>
      </c>
      <c r="B12" s="26" t="inlineStr">
        <is>
          <t>23/11/2026</t>
        </is>
      </c>
      <c r="C12" s="26" t="inlineStr">
        <is>
          <t>06/12/2026</t>
        </is>
      </c>
      <c r="D12" s="27" t="inlineStr">
        <is>
          <t>Kiểm thử hệ thống (Web &amp; Android), sửa lỗi</t>
        </is>
      </c>
      <c r="E12" s="27" t="inlineStr">
        <is>
          <t>Hệ thống ổn định trên Web và Android</t>
        </is>
      </c>
      <c r="F12" s="27" t="inlineStr">
        <is>
          <t>Sheet 23_UAT</t>
        </is>
      </c>
      <c r="G12" s="27" t="inlineStr">
        <is>
          <t>Sắp tới</t>
        </is>
      </c>
    </row>
    <row r="13">
      <c r="A13" s="24" t="n">
        <v>9</v>
      </c>
      <c r="B13" s="24" t="inlineStr">
        <is>
          <t>07/12/2026</t>
        </is>
      </c>
      <c r="C13" s="24" t="inlineStr">
        <is>
          <t>13/12/2026</t>
        </is>
      </c>
      <c r="D13" s="25" t="inlineStr">
        <is>
          <t>Deploy Website và đóng gói APK</t>
        </is>
      </c>
      <c r="E13" s="25" t="inlineStr">
        <is>
          <t>Website trên Internet, APK sẵn sàng</t>
        </is>
      </c>
      <c r="F13" s="25" t="inlineStr">
        <is>
          <t>Docker compose đã có (API + web)</t>
        </is>
      </c>
      <c r="G13" s="25" t="inlineStr">
        <is>
          <t>Sắp tới</t>
        </is>
      </c>
    </row>
    <row r="14">
      <c r="A14" s="26" t="n">
        <v>10</v>
      </c>
      <c r="B14" s="26" t="inlineStr">
        <is>
          <t>14/12/2026</t>
        </is>
      </c>
      <c r="C14" s="26" t="inlineStr">
        <is>
          <t>20/12/2026</t>
        </is>
      </c>
      <c r="D14" s="27" t="inlineStr">
        <is>
          <t>Hoàn thiện báo cáo và slide</t>
        </is>
      </c>
      <c r="E14" s="27" t="inlineStr">
        <is>
          <t>File báo cáo và slide</t>
        </is>
      </c>
      <c r="F14" s="27" t="inlineStr">
        <is>
          <t>Sửa các mục ở 26_Ra_soat_DA</t>
        </is>
      </c>
      <c r="G14" s="27" t="inlineStr">
        <is>
          <t>Sắp tới</t>
        </is>
      </c>
    </row>
    <row r="16">
      <c r="A16" s="16" t="inlineStr">
        <is>
          <t>Sprint</t>
        </is>
      </c>
      <c r="B16" s="16" t="inlineStr">
        <is>
          <t>Chủ đề</t>
        </is>
      </c>
      <c r="C16" s="16" t="inlineStr">
        <is>
          <t>Phạm vi</t>
        </is>
      </c>
      <c r="D16" s="16" t="inlineStr">
        <is>
          <t>Thời gian dự kiến</t>
        </is>
      </c>
      <c r="E16" s="16" t="inlineStr">
        <is>
          <t>Số UC</t>
        </is>
      </c>
      <c r="F16" s="16" t="inlineStr">
        <is>
          <t>UC P0</t>
        </is>
      </c>
    </row>
    <row r="17">
      <c r="A17" s="6" t="inlineStr">
        <is>
          <t>Sprint 1</t>
        </is>
      </c>
      <c r="B17" s="6" t="inlineStr">
        <is>
          <t>Tài khoản, danh mục, nhân viên, đặt lịch lõi</t>
        </is>
      </c>
      <c r="C17" s="6" t="inlineStr">
        <is>
          <t>AUTH (đăng ký OTP, đăng nhập, quên MK), CAT, STF (nhân viên, ca), BKG (giờ trống, đặt lịch, quản lý lịch hẹn)</t>
        </is>
      </c>
      <c r="D17" s="6" t="inlineStr">
        <is>
          <t>12/10 → 08/11/2026</t>
        </is>
      </c>
      <c r="E17" s="17">
        <f>COUNTIF('04_Checklist_UC'!K$5:K$200,A17)</f>
        <v/>
      </c>
      <c r="F17" s="17">
        <f>COUNTIFS('04_Checklist_UC'!K$5:K$200,A17,'04_Checklist_UC'!I$5:I$200,"P0")</f>
        <v/>
      </c>
    </row>
    <row r="18">
      <c r="A18" s="6" t="inlineStr">
        <is>
          <t>Sprint 2</t>
        </is>
      </c>
      <c r="B18" s="6" t="inlineStr">
        <is>
          <t>Mua hàng, quyền sử dụng, liệu trình, chăm sóc</t>
        </is>
      </c>
      <c r="C18" s="6" t="inlineStr">
        <is>
          <t>ORD (giỏ, thanh toán, đơn), PRM, TRT, CARE, nhân viên xem lịch, đánh giá, quản lý tài khoản</t>
        </is>
      </c>
      <c r="D18" s="6" t="inlineStr">
        <is>
          <t>26/10 → 22/11/2026</t>
        </is>
      </c>
      <c r="E18" s="17">
        <f>COUNTIF('04_Checklist_UC'!K$5:K$200,A18)</f>
        <v/>
      </c>
      <c r="F18" s="17">
        <f>COUNTIFS('04_Checklist_UC'!K$5:K$200,A18,'04_Checklist_UC'!I$5:I$200,"P0")</f>
        <v/>
      </c>
    </row>
    <row r="19">
      <c r="A19" s="6" t="inlineStr">
        <is>
          <t>Sprint 3</t>
        </is>
      </c>
      <c r="B19" s="6" t="inlineStr">
        <is>
          <t>AI, báo cáo, thông báo</t>
        </is>
      </c>
      <c r="C19" s="6" t="inlineStr">
        <is>
          <t>AI, RPT, NTF, quản lý đánh giá</t>
        </is>
      </c>
      <c r="D19" s="6" t="inlineStr">
        <is>
          <t>09/11 → 06/12/2026</t>
        </is>
      </c>
      <c r="E19" s="17">
        <f>COUNTIF('04_Checklist_UC'!K$5:K$200,A19)</f>
        <v/>
      </c>
      <c r="F19" s="17">
        <f>COUNTIFS('04_Checklist_UC'!K$5:K$200,A19,'04_Checklist_UC'!I$5:I$200,"P0")</f>
        <v/>
      </c>
    </row>
  </sheetData>
  <autoFilter ref="A4:G14"/>
  <mergeCells count="3">
    <mergeCell ref="A3:G3"/>
    <mergeCell ref="A2:G2"/>
    <mergeCell ref="A1:G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9"/>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16" customWidth="1" min="3" max="3"/>
    <col width="70" customWidth="1" min="4" max="4"/>
    <col width="70" customWidth="1" min="5" max="5"/>
    <col width="10" customWidth="1" min="6" max="6"/>
    <col width="12" customWidth="1" min="7" max="7"/>
  </cols>
  <sheetData>
    <row r="1" ht="26" customHeight="1">
      <c r="A1" s="1" t="inlineStr">
        <is>
          <t>26 · RÀ SOÁT TÀI LIỆU DA</t>
        </is>
      </c>
    </row>
    <row r="2">
      <c r="A2" s="2" t="inlineStr">
        <is>
          <t>25 vấn đề phát hiện khi đọc 126_DA_NTTT_NguyenXuanHoang_2214_v1.docx</t>
        </is>
      </c>
    </row>
    <row r="3" ht="30" customHeight="1">
      <c r="A3" s="3" t="inlineStr">
        <is>
          <t>Nên sửa trước khi nộp báo cáo. Cột 'Đã xử lý' để theo dõi.</t>
        </is>
      </c>
    </row>
    <row r="4" ht="32" customHeight="1">
      <c r="A4" s="4" t="inlineStr">
        <is>
          <t>Mã</t>
        </is>
      </c>
      <c r="B4" s="4" t="inlineStr">
        <is>
          <t>Vị trí trong DA</t>
        </is>
      </c>
      <c r="C4" s="4" t="inlineStr">
        <is>
          <t>Loại</t>
        </is>
      </c>
      <c r="D4" s="4" t="inlineStr">
        <is>
          <t>Vấn đề</t>
        </is>
      </c>
      <c r="E4" s="4" t="inlineStr">
        <is>
          <t>Đề xuất sửa</t>
        </is>
      </c>
      <c r="F4" s="4" t="inlineStr">
        <is>
          <t>Mức độ</t>
        </is>
      </c>
      <c r="G4" s="4" t="inlineStr">
        <is>
          <t>Đã xử lý</t>
        </is>
      </c>
    </row>
    <row r="5">
      <c r="A5" s="24" t="inlineStr">
        <is>
          <t>RS-01</t>
        </is>
      </c>
      <c r="B5" s="25" t="inlineStr">
        <is>
          <t>Mở đầu › Cấu trúc đồ án</t>
        </is>
      </c>
      <c r="C5" s="25" t="inlineStr">
        <is>
          <t>Nội dung sai</t>
        </is>
      </c>
      <c r="D5" s="25" t="inlineStr">
        <is>
          <t>Chương 1 mô tả 'tổng quan về tuyển dụng trực tuyến' — không thuộc đề tài spa</t>
        </is>
      </c>
      <c r="E5" s="25" t="inlineStr">
        <is>
          <t>Sửa thành 'Trình bày các công nghệ sử dụng: TypeScript, React, Tailwind CSS, .NET/ASP.NET Core, PostgreSQL/EF Core, React Native'</t>
        </is>
      </c>
      <c r="F5" s="24" t="inlineStr">
        <is>
          <t>Cao</t>
        </is>
      </c>
      <c r="G5" s="24" t="inlineStr">
        <is>
          <t>Chưa</t>
        </is>
      </c>
    </row>
    <row r="6">
      <c r="A6" s="26" t="inlineStr">
        <is>
          <t>RS-02</t>
        </is>
      </c>
      <c r="B6" s="27" t="inlineStr">
        <is>
          <t>Chương 1 › Tailwind CSS</t>
        </is>
      </c>
      <c r="C6" s="27" t="inlineStr">
        <is>
          <t>Lệch với mã nguồn</t>
        </is>
      </c>
      <c r="D6" s="27" t="inlineStr">
        <is>
          <t>DA chọn Tailwind CSS; repo SpaSystem hiện dùng CSS Modules + CSS variables</t>
        </is>
      </c>
      <c r="E6" s="27" t="inlineStr">
        <is>
          <t>Thống nhất một hướng: cài Tailwind vào apps/web hoặc sửa Chương 1 thành CSS Modules</t>
        </is>
      </c>
      <c r="F6" s="26" t="inlineStr">
        <is>
          <t>Trung bình</t>
        </is>
      </c>
      <c r="G6" s="26" t="inlineStr">
        <is>
          <t>Chưa</t>
        </is>
      </c>
    </row>
    <row r="7">
      <c r="A7" s="24" t="inlineStr">
        <is>
          <t>RS-03</t>
        </is>
      </c>
      <c r="B7" s="25" t="inlineStr">
        <is>
          <t>Chương 1 › 'React Navtive'</t>
        </is>
      </c>
      <c r="C7" s="25" t="inlineStr">
        <is>
          <t>Chính tả</t>
        </is>
      </c>
      <c r="D7" s="25" t="inlineStr">
        <is>
          <t>Tiêu đề viết sai 'Navtive'</t>
        </is>
      </c>
      <c r="E7" s="25" t="inlineStr">
        <is>
          <t>Sửa 'React Native'</t>
        </is>
      </c>
      <c r="F7" s="24" t="inlineStr">
        <is>
          <t>Thấp</t>
        </is>
      </c>
      <c r="G7" s="24" t="inlineStr">
        <is>
          <t>Chưa</t>
        </is>
      </c>
    </row>
    <row r="8">
      <c r="A8" s="26" t="inlineStr">
        <is>
          <t>RS-04</t>
        </is>
      </c>
      <c r="B8" s="27" t="inlineStr">
        <is>
          <t>§2.2.3 › UC Trò chuyện với trợ lý AI</t>
        </is>
      </c>
      <c r="C8" s="27" t="inlineStr">
        <is>
          <t>Sai tên</t>
        </is>
      </c>
      <c r="D8" s="27" t="inlineStr">
        <is>
          <t>Hàng 'Usecase name' ghi 'Xem đánh giá dịch vụ'; bước 7 bị cắt chữ 'hiển th'</t>
        </is>
      </c>
      <c r="E8" s="27" t="inlineStr">
        <is>
          <t>Sửa tên và hoàn thiện bước 7</t>
        </is>
      </c>
      <c r="F8" s="26" t="inlineStr">
        <is>
          <t>Cao</t>
        </is>
      </c>
      <c r="G8" s="26" t="inlineStr">
        <is>
          <t>Chưa</t>
        </is>
      </c>
    </row>
    <row r="9">
      <c r="A9" s="24" t="inlineStr">
        <is>
          <t>RS-05</t>
        </is>
      </c>
      <c r="B9" s="25" t="inlineStr">
        <is>
          <t>§2.2.3 › UC Cập nhật thông tin tài khoản</t>
        </is>
      </c>
      <c r="C9" s="25" t="inlineStr">
        <is>
          <t>Sai tên</t>
        </is>
      </c>
      <c r="D9" s="25" t="inlineStr">
        <is>
          <t>Hàng 'Usecase name' ghi 'Quản lý đơn hàng đã mua'</t>
        </is>
      </c>
      <c r="E9" s="25" t="inlineStr">
        <is>
          <t>Sửa tên</t>
        </is>
      </c>
      <c r="F9" s="24" t="inlineStr">
        <is>
          <t>Cao</t>
        </is>
      </c>
      <c r="G9" s="24" t="inlineStr">
        <is>
          <t>Chưa</t>
        </is>
      </c>
    </row>
    <row r="10">
      <c r="A10" s="26" t="inlineStr">
        <is>
          <t>RS-06</t>
        </is>
      </c>
      <c r="B10" s="27" t="inlineStr">
        <is>
          <t>§2.2.3 › UC Xem lịch sử các khách hàng đã chăm sóc</t>
        </is>
      </c>
      <c r="C10" s="27" t="inlineStr">
        <is>
          <t>Sai tên</t>
        </is>
      </c>
      <c r="D10" s="27" t="inlineStr">
        <is>
          <t>Hàng 'Usecase name' ghi 'Xem danh sách lịch hẹn được phân công'</t>
        </is>
      </c>
      <c r="E10" s="27" t="inlineStr">
        <is>
          <t>Sửa tên</t>
        </is>
      </c>
      <c r="F10" s="26" t="inlineStr">
        <is>
          <t>Cao</t>
        </is>
      </c>
      <c r="G10" s="26" t="inlineStr">
        <is>
          <t>Chưa</t>
        </is>
      </c>
    </row>
    <row r="11">
      <c r="A11" s="24" t="inlineStr">
        <is>
          <t>RS-07</t>
        </is>
      </c>
      <c r="B11" s="25" t="inlineStr">
        <is>
          <t>§2.2.3 › UC Xem thông tin giới thiệu về spa</t>
        </is>
      </c>
      <c r="C11" s="25" t="inlineStr">
        <is>
          <t>Chép nhầm</t>
        </is>
      </c>
      <c r="D11" s="25" t="inlineStr">
        <is>
          <t>Luồng rẽ nhánh A1–A3 và ngoại lệ E1–E2 chép từ UC Tìm kiếm</t>
        </is>
      </c>
      <c r="E11" s="25" t="inlineStr">
        <is>
          <t>Xóa hoặc thay bằng luồng phù hợp (VD: mở bản đồ, gọi điện)</t>
        </is>
      </c>
      <c r="F11" s="24" t="inlineStr">
        <is>
          <t>Cao</t>
        </is>
      </c>
      <c r="G11" s="24" t="inlineStr">
        <is>
          <t>Chưa</t>
        </is>
      </c>
    </row>
    <row r="12">
      <c r="A12" s="26" t="inlineStr">
        <is>
          <t>RS-08</t>
        </is>
      </c>
      <c r="B12" s="27" t="inlineStr">
        <is>
          <t>§2.2.3 › UC Quên mật khẩu</t>
        </is>
      </c>
      <c r="C12" s="27" t="inlineStr">
        <is>
          <t>Nháp còn sót</t>
        </is>
      </c>
      <c r="D12" s="27" t="inlineStr">
        <is>
          <t>Ô ngoại lệ có chữ 'flowE1' và ghi chú 'Sơ đồ chưa thể hiện nhánh mật khẩu mới không hợp lệ…'</t>
        </is>
      </c>
      <c r="E12" s="27" t="inlineStr">
        <is>
          <t>Xóa chữ thừa; thêm E3 mật khẩu mới không hợp lệ/không khớp và cập nhật sơ đồ hoạt động</t>
        </is>
      </c>
      <c r="F12" s="26" t="inlineStr">
        <is>
          <t>Trung bình</t>
        </is>
      </c>
      <c r="G12" s="26" t="inlineStr">
        <is>
          <t>Chưa</t>
        </is>
      </c>
    </row>
    <row r="13">
      <c r="A13" s="24" t="inlineStr">
        <is>
          <t>RS-09</t>
        </is>
      </c>
      <c r="B13" s="25" t="inlineStr">
        <is>
          <t>§2.2.3 › UC Đặt lịch hẹn luồng 2</t>
        </is>
      </c>
      <c r="C13" s="25" t="inlineStr">
        <is>
          <t>Mô tả sai</t>
        </is>
      </c>
      <c r="D13" s="25" t="inlineStr">
        <is>
          <t>Description 'Khách chọn lịch rồi thanh toán để xác nhận' chép từ luồng 1, nhưng luồng 2 không thanh toán</t>
        </is>
      </c>
      <c r="E13" s="25" t="inlineStr">
        <is>
          <t>Sửa: 'Khách dùng dịch vụ/buổi đã mua để đặt lịch'</t>
        </is>
      </c>
      <c r="F13" s="24" t="inlineStr">
        <is>
          <t>Trung bình</t>
        </is>
      </c>
      <c r="G13" s="24" t="inlineStr">
        <is>
          <t>Chưa</t>
        </is>
      </c>
    </row>
    <row r="14">
      <c r="A14" s="26" t="inlineStr">
        <is>
          <t>RS-10</t>
        </is>
      </c>
      <c r="B14" s="27" t="inlineStr">
        <is>
          <t>§2.2.1 › Liệt kê UC</t>
        </is>
      </c>
      <c r="C14" s="27" t="inlineStr">
        <is>
          <t>Thiếu đặc tả</t>
        </is>
      </c>
      <c r="D14" s="27" t="inlineStr">
        <is>
          <t>'Xem chi tiết dịch vụ, gói dịch vụ' và 'Quản lý liệu trình và lịch sử chăm sóc của khách hàng' có trong danh sách nhưng không có bảng đặc tả</t>
        </is>
      </c>
      <c r="E14" s="27" t="inlineStr">
        <is>
          <t>Bổ sung 2 bảng (đề xuất ở 05_Dac_ta_UC, UC-SPA-07 và 21)</t>
        </is>
      </c>
      <c r="F14" s="26" t="inlineStr">
        <is>
          <t>Cao</t>
        </is>
      </c>
      <c r="G14" s="26" t="inlineStr">
        <is>
          <t>Chưa</t>
        </is>
      </c>
    </row>
    <row r="15">
      <c r="A15" s="24" t="inlineStr">
        <is>
          <t>RS-11</t>
        </is>
      </c>
      <c r="B15" s="25" t="inlineStr">
        <is>
          <t>§2.2.1 vs đặc tả › Trợ lý AI</t>
        </is>
      </c>
      <c r="C15" s="25" t="inlineStr">
        <is>
          <t>Không nhất quán</t>
        </is>
      </c>
      <c r="D15" s="25" t="inlineStr">
        <is>
          <t>Danh sách actor chỉ đặt UC AI cho Khách hàng, đặc tả ghi 'Khách vãng lai, khách hàng'; bảng LichSuTroChuyenAI.IdKhachHang not null</t>
        </is>
      </c>
      <c r="E15" s="25" t="inlineStr">
        <is>
          <t>Chốt: chỉ khách hàng; hoặc khách vãng lai không lưu lịch sử; hoặc cho IdKhachHang null + thêm mã phiên</t>
        </is>
      </c>
      <c r="F15" s="24" t="inlineStr">
        <is>
          <t>Cao</t>
        </is>
      </c>
      <c r="G15" s="24" t="inlineStr">
        <is>
          <t>Chưa</t>
        </is>
      </c>
    </row>
    <row r="16">
      <c r="A16" s="26" t="inlineStr">
        <is>
          <t>RS-12</t>
        </is>
      </c>
      <c r="B16" s="27" t="inlineStr">
        <is>
          <t>§2.2.1 › Chủ spa 'Quản lý lịch hẹn (xem, xác nhận, phân công)'</t>
        </is>
      </c>
      <c r="C16" s="27" t="inlineStr">
        <is>
          <t>Không nhất quán</t>
        </is>
      </c>
      <c r="D16" s="27" t="inlineStr">
        <is>
          <t>Đặc tả UC Quản lý lịch hẹn không có bước 'xác nhận'; chưa rõ lịch luồng 2 cần chủ spa xác nhận hay tự xác nhận</t>
        </is>
      </c>
      <c r="E16" s="27" t="inlineStr">
        <is>
          <t>Chốt trạng thái ChoXacNhan; nếu có thì bổ sung A4 xác nhận</t>
        </is>
      </c>
      <c r="F16" s="26" t="inlineStr">
        <is>
          <t>Trung bình</t>
        </is>
      </c>
      <c r="G16" s="26" t="inlineStr">
        <is>
          <t>Chưa</t>
        </is>
      </c>
    </row>
    <row r="17">
      <c r="A17" s="24" t="inlineStr">
        <is>
          <t>RS-13</t>
        </is>
      </c>
      <c r="B17" s="25" t="inlineStr">
        <is>
          <t>§2.2.1 › Chủ spa</t>
        </is>
      </c>
      <c r="C17" s="25" t="inlineStr">
        <is>
          <t>Thiếu UC</t>
        </is>
      </c>
      <c r="D17" s="25" t="inlineStr">
        <is>
          <t>Chủ spa không có 'Xem thông báo' nhưng cần nhận thông báo lịch mới/đơn mới (nếu có ChoXacNhan)</t>
        </is>
      </c>
      <c r="E17" s="25" t="inlineStr">
        <is>
          <t>Bổ sung actor Chủ spa vào UC Xem thông báo hoặc ghi rõ phạm vi</t>
        </is>
      </c>
      <c r="F17" s="24" t="inlineStr">
        <is>
          <t>Thấp</t>
        </is>
      </c>
      <c r="G17" s="24" t="inlineStr">
        <is>
          <t>Chưa</t>
        </is>
      </c>
    </row>
    <row r="18">
      <c r="A18" s="26" t="inlineStr">
        <is>
          <t>RS-14</t>
        </is>
      </c>
      <c r="B18" s="27" t="inlineStr">
        <is>
          <t>§2.2.3 › UC Tìm kiếm</t>
        </is>
      </c>
      <c r="C18" s="27" t="inlineStr">
        <is>
          <t>Không nhất quán</t>
        </is>
      </c>
      <c r="D18" s="27" t="inlineStr">
        <is>
          <t>Input không có khoảng giá nhưng A2 'đặt lại … khoảng giá'; E2 'lưu dịch vụ' không có UC/bảng; GoiDichVu không có danh mục để lọc</t>
        </is>
      </c>
      <c r="E18" s="27" t="inlineStr">
        <is>
          <t>Thêm khoảng giá vào Input; đổi E2 thành 'thêm vào giỏ'; ghi rõ danh mục chỉ áp dụng DichVu.LoaiDichVu</t>
        </is>
      </c>
      <c r="F18" s="26" t="inlineStr">
        <is>
          <t>Trung bình</t>
        </is>
      </c>
      <c r="G18" s="26" t="inlineStr">
        <is>
          <t>Chưa</t>
        </is>
      </c>
    </row>
    <row r="19">
      <c r="A19" s="24" t="inlineStr">
        <is>
          <t>RS-15</t>
        </is>
      </c>
      <c r="B19" s="25" t="inlineStr">
        <is>
          <t>§2.2.3 › UC Đánh giá dịch vụ</t>
        </is>
      </c>
      <c r="C19" s="25" t="inlineStr">
        <is>
          <t>Chưa định nghĩa</t>
        </is>
      </c>
      <c r="D19" s="25" t="inlineStr">
        <is>
          <t>'Hoàn thành đủ số buổi theo quy định' chưa có giá trị; chưa rõ mỗi khách được đánh giá mấy lần</t>
        </is>
      </c>
      <c r="E19" s="25" t="inlineStr">
        <is>
          <t>Định nghĩa ngưỡng (VD ≥ 1 buổi hoặc ≥ 50%); giới hạn 1 đánh giá/sản phẩm/khách</t>
        </is>
      </c>
      <c r="F19" s="24" t="inlineStr">
        <is>
          <t>Trung bình</t>
        </is>
      </c>
      <c r="G19" s="24" t="inlineStr">
        <is>
          <t>Chưa</t>
        </is>
      </c>
    </row>
    <row r="20">
      <c r="A20" s="26" t="inlineStr">
        <is>
          <t>RS-16</t>
        </is>
      </c>
      <c r="B20" s="27" t="inlineStr">
        <is>
          <t>§2.2.3 › UC Xem và quản lý lịch hẹn</t>
        </is>
      </c>
      <c r="C20" s="27" t="inlineStr">
        <is>
          <t>Chưa định nghĩa</t>
        </is>
      </c>
      <c r="D20" s="27" t="inlineStr">
        <is>
          <t>'Hệ thống kiểm tra và hủy khi được phép' — chưa có quy định thời hạn đổi/hủy</t>
        </is>
      </c>
      <c r="E20" s="27" t="inlineStr">
        <is>
          <t>Thêm quy tắc (VD trước giờ hẹn 24h)</t>
        </is>
      </c>
      <c r="F20" s="26" t="inlineStr">
        <is>
          <t>Trung bình</t>
        </is>
      </c>
      <c r="G20" s="26" t="inlineStr">
        <is>
          <t>Chưa</t>
        </is>
      </c>
    </row>
    <row r="21">
      <c r="A21" s="24" t="inlineStr">
        <is>
          <t>RS-17</t>
        </is>
      </c>
      <c r="B21" s="25" t="inlineStr">
        <is>
          <t>Phân tích dữ liệu</t>
        </is>
      </c>
      <c r="C21" s="25" t="inlineStr">
        <is>
          <t>Thiếu bảng</t>
        </is>
      </c>
      <c r="D21" s="25" t="inlineStr">
        <is>
          <t>UC Đăng ký/Quên mật khẩu dùng OTP nhưng không có bảng lưu OTP; JWT refresh token không có nơi lưu; UC Giới thiệu spa không có bảng thông tin spa</t>
        </is>
      </c>
      <c r="E21" s="25" t="inlineStr">
        <is>
          <t>Bổ sung MaOtp, RefreshToken, ThongTinSpa (hoặc cấu hình) — xem 17_DB_Bang (nguồn ĐX)</t>
        </is>
      </c>
      <c r="F21" s="24" t="inlineStr">
        <is>
          <t>Trung bình</t>
        </is>
      </c>
      <c r="G21" s="24" t="inlineStr">
        <is>
          <t>Chưa</t>
        </is>
      </c>
    </row>
    <row r="22">
      <c r="A22" s="26" t="inlineStr">
        <is>
          <t>RS-18</t>
        </is>
      </c>
      <c r="B22" s="27" t="inlineStr">
        <is>
          <t>Phân tích dữ liệu</t>
        </is>
      </c>
      <c r="C22" s="27" t="inlineStr">
        <is>
          <t>Thiếu giá trị ENUM</t>
        </is>
      </c>
      <c r="D22" s="27" t="inlineStr">
        <is>
          <t>Các cột ENUM (VaiTro, TrangThai…) chưa liệt kê giá trị</t>
        </is>
      </c>
      <c r="E22" s="27" t="inlineStr">
        <is>
          <t>Bổ sung bảng giá trị — xem 20_Enum</t>
        </is>
      </c>
      <c r="F22" s="26" t="inlineStr">
        <is>
          <t>Trung bình</t>
        </is>
      </c>
      <c r="G22" s="26" t="inlineStr">
        <is>
          <t>Chưa</t>
        </is>
      </c>
    </row>
    <row r="23">
      <c r="A23" s="24" t="inlineStr">
        <is>
          <t>RS-19</t>
        </is>
      </c>
      <c r="B23" s="25" t="inlineStr">
        <is>
          <t>Phân tích dữ liệu › LichHen</t>
        </is>
      </c>
      <c r="C23" s="25" t="inlineStr">
        <is>
          <t>Thiết kế cần lưu ý</t>
        </is>
      </c>
      <c r="D23" s="25" t="inlineStr">
        <is>
          <t>NgayHen + GioBatDau/GioKetThuc (TIME) không có múi giờ; chống trùng cần ràng buộc trên khoảng thời gian</t>
        </is>
      </c>
      <c r="E23" s="25" t="inlineStr">
        <is>
          <t>Ghi rõ giờ VN; dùng EXCLUDE USING gist với tsrange(NgayHen+GioBatDau, NgayHen+GioKetThuc) — khớp tuyên bố 'ràng buộc ở tầng CSDL' ở Mở đầu</t>
        </is>
      </c>
      <c r="F23" s="24" t="inlineStr">
        <is>
          <t>Trung bình</t>
        </is>
      </c>
      <c r="G23" s="24" t="inlineStr">
        <is>
          <t>Chưa</t>
        </is>
      </c>
    </row>
    <row r="24">
      <c r="A24" s="26" t="inlineStr">
        <is>
          <t>RS-20</t>
        </is>
      </c>
      <c r="B24" s="27" t="inlineStr">
        <is>
          <t>Phân tích dữ liệu › ChiTietGioHang, ChiTietDonHang, DanhGia</t>
        </is>
      </c>
      <c r="C24" s="27" t="inlineStr">
        <is>
          <t>Thiếu ràng buộc</t>
        </is>
      </c>
      <c r="D24" s="27" t="inlineStr">
        <is>
          <t>IdDichVu và IdGoiDichVu cùng cho phép null — có thể cả hai cùng null hoặc cùng có giá trị</t>
        </is>
      </c>
      <c r="E24" s="27" t="inlineStr">
        <is>
          <t>Thêm CHECK: đúng một trong hai khác null</t>
        </is>
      </c>
      <c r="F24" s="26" t="inlineStr">
        <is>
          <t>Thấp</t>
        </is>
      </c>
      <c r="G24" s="26" t="inlineStr">
        <is>
          <t>Chưa</t>
        </is>
      </c>
    </row>
    <row r="25">
      <c r="A25" s="24" t="inlineStr">
        <is>
          <t>RS-21</t>
        </is>
      </c>
      <c r="B25" s="25" t="inlineStr">
        <is>
          <t>Phân tích dữ liệu</t>
        </is>
      </c>
      <c r="C25" s="25" t="inlineStr">
        <is>
          <t>Thiếu hoàn tiền</t>
        </is>
      </c>
      <c r="D25" s="25" t="inlineStr">
        <is>
          <t>Không có trạng thái/bảng hoàn tiền; báo cáo doanh thu không trừ hoàn</t>
        </is>
      </c>
      <c r="E25" s="25" t="inlineStr">
        <is>
          <t>Ghi rõ ngoài phạm vi, hoặc bổ sung trạng thái HoanTien</t>
        </is>
      </c>
      <c r="F25" s="24" t="inlineStr">
        <is>
          <t>Thấp</t>
        </is>
      </c>
      <c r="G25" s="24" t="inlineStr">
        <is>
          <t>Chưa</t>
        </is>
      </c>
    </row>
    <row r="26">
      <c r="A26" s="26" t="inlineStr">
        <is>
          <t>RS-22</t>
        </is>
      </c>
      <c r="B26" s="27" t="inlineStr">
        <is>
          <t>Chương 2 › Sơ đồ tuần tự</t>
        </is>
      </c>
      <c r="C26" s="27" t="inlineStr">
        <is>
          <t>Trùng / thiếu</t>
        </is>
      </c>
      <c r="D26" s="27" t="inlineStr">
        <is>
          <t>'Tìm kiếm gói dịch vụ' và 'Quản lý đơn hàng' xuất hiện 2 lần; thiếu sơ đồ cho Quên mật khẩu, Xem giới thiệu, Xem thông báo, Quản lý tài khoản người dùng, Khuyến mãi, Báo cáo, Lịch sử khách đã chăm sóc</t>
        </is>
      </c>
      <c r="E26" s="27" t="inlineStr">
        <is>
          <t>Xóa bản trùng, bổ sung sơ đồ còn thiếu</t>
        </is>
      </c>
      <c r="F26" s="26" t="inlineStr">
        <is>
          <t>Trung bình</t>
        </is>
      </c>
      <c r="G26" s="26" t="inlineStr">
        <is>
          <t>Chưa</t>
        </is>
      </c>
    </row>
    <row r="27">
      <c r="A27" s="24" t="inlineStr">
        <is>
          <t>RS-23</t>
        </is>
      </c>
      <c r="B27" s="25" t="inlineStr">
        <is>
          <t>Toàn Chương 2</t>
        </is>
      </c>
      <c r="C27" s="25" t="inlineStr">
        <is>
          <t>Đánh số</t>
        </is>
      </c>
      <c r="D27" s="25" t="inlineStr">
        <is>
          <t>Hầu hết bảng ghi 'Bảng 2.2', hình ghi 'Hình 2.3'/'Hình 2.4'; danh mục hình chỉ có Hình 2.1</t>
        </is>
      </c>
      <c r="E27" s="25" t="inlineStr">
        <is>
          <t>Dùng caption tự động (References › Insert Caption) và cập nhật danh mục</t>
        </is>
      </c>
      <c r="F27" s="24" t="inlineStr">
        <is>
          <t>Trung bình</t>
        </is>
      </c>
      <c r="G27" s="24" t="inlineStr">
        <is>
          <t>Chưa</t>
        </is>
      </c>
    </row>
    <row r="28">
      <c r="A28" s="26" t="inlineStr">
        <is>
          <t>RS-24</t>
        </is>
      </c>
      <c r="B28" s="27" t="inlineStr">
        <is>
          <t>Chương 3</t>
        </is>
      </c>
      <c r="C28" s="27" t="inlineStr">
        <is>
          <t>Chưa hoàn thiện</t>
        </is>
      </c>
      <c r="D28" s="27" t="inlineStr">
        <is>
          <t>Mục 'Giao diện chương trình', 'Sơ đồ thực thể quan hệ', 'Sơ đồ ERD' (Chương 2) chưa có nội dung văn bản; danh mục chữ viết tắt tiếng Anh trống</t>
        </is>
      </c>
      <c r="E28" s="27" t="inlineStr">
        <is>
          <t>Bổ sung khi có giao diện; điền JWT, API, ERD, UC, OTP… vào danh mục viết tắt</t>
        </is>
      </c>
      <c r="F28" s="26" t="inlineStr">
        <is>
          <t>Thấp</t>
        </is>
      </c>
      <c r="G28" s="26" t="inlineStr">
        <is>
          <t>Chưa</t>
        </is>
      </c>
    </row>
    <row r="29">
      <c r="A29" s="24" t="inlineStr">
        <is>
          <t>RS-25</t>
        </is>
      </c>
      <c r="B29" s="25" t="inlineStr">
        <is>
          <t>Mở đầu › Mục tiêu</t>
        </is>
      </c>
      <c r="C29" s="25" t="inlineStr">
        <is>
          <t>Lệch nhẹ với đề cương</t>
        </is>
      </c>
      <c r="D29" s="25" t="inlineStr">
        <is>
          <t>DA gom 10 mục tiêu đề cương thành 5; mục 'thanh toán trực tuyến, khuyến mãi' và 'đánh giá' không còn là mục tiêu riêng (vẫn có UC)</t>
        </is>
      </c>
      <c r="E29" s="25" t="inlineStr">
        <is>
          <t>Có thể giữ, nhưng nên nhắc trong phạm vi để khớp đề cương đã duyệt</t>
        </is>
      </c>
      <c r="F29" s="24" t="inlineStr">
        <is>
          <t>Thấp</t>
        </is>
      </c>
      <c r="G29" s="24" t="inlineStr">
        <is>
          <t>Chưa</t>
        </is>
      </c>
    </row>
  </sheetData>
  <autoFilter ref="A4:G29"/>
  <mergeCells count="3">
    <mergeCell ref="A3:G3"/>
    <mergeCell ref="A2:G2"/>
    <mergeCell ref="A1:G1"/>
  </mergeCells>
  <conditionalFormatting sqref="F5:F29">
    <cfRule type="expression" priority="1" dxfId="3">
      <formula>F5="Cao"</formula>
    </cfRule>
  </conditionalFormatting>
  <conditionalFormatting sqref="G5:G29">
    <cfRule type="expression" priority="2" dxfId="0">
      <formula>G5="Đã sửa"</formula>
    </cfRule>
  </conditionalFormatting>
  <dataValidations count="1">
    <dataValidation sqref="G5:G29" showDropDown="0" showInputMessage="0" showErrorMessage="0" allowBlank="0" type="list">
      <formula1>"Chưa,Đã sửa,Bỏ qua"</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0"/>
  <sheetViews>
    <sheetView zoomScale="90" workbookViewId="0">
      <pane ySplit="4" topLeftCell="A5" activePane="bottomLeft" state="frozen"/>
      <selection pane="bottomLeft" activeCell="A1" sqref="A1"/>
    </sheetView>
  </sheetViews>
  <sheetFormatPr baseColWidth="8" defaultRowHeight="15"/>
  <cols>
    <col width="8" customWidth="1" min="1" max="1"/>
    <col width="90" customWidth="1" min="2" max="2"/>
    <col width="70" customWidth="1" min="3" max="3"/>
    <col width="8" customWidth="1" min="4" max="4"/>
    <col width="12" customWidth="1" min="5" max="5"/>
  </cols>
  <sheetData>
    <row r="1" ht="26" customHeight="1">
      <c r="A1" s="1" t="inlineStr">
        <is>
          <t>27 · TRUY VẾT MỤC TIÊU ĐỀ TÀI → USE CASE</t>
        </is>
      </c>
    </row>
    <row r="2">
      <c r="A2" s="2" t="inlineStr">
        <is>
          <t>Mục 'Mục tiêu đề tài' (MT-1..5) và 'Khảo sát người dùng' (KS) của DA</t>
        </is>
      </c>
    </row>
    <row r="3" ht="30" customHeight="1">
      <c r="A3" s="3" t="inlineStr">
        <is>
          <t>Mỗi mục tiêu phải có ít nhất 1 UC.</t>
        </is>
      </c>
    </row>
    <row r="4" ht="32" customHeight="1">
      <c r="A4" s="4" t="inlineStr">
        <is>
          <t>Mã</t>
        </is>
      </c>
      <c r="B4" s="4" t="inlineStr">
        <is>
          <t>Mục tiêu (DA)</t>
        </is>
      </c>
      <c r="C4" s="4" t="inlineStr">
        <is>
          <t>UC đáp ứng</t>
        </is>
      </c>
      <c r="D4" s="4" t="inlineStr">
        <is>
          <t>Số UC</t>
        </is>
      </c>
      <c r="E4" s="4" t="inlineStr">
        <is>
          <t>Kiểm tra</t>
        </is>
      </c>
    </row>
    <row r="5">
      <c r="A5" s="24" t="inlineStr">
        <is>
          <t>MT-1</t>
        </is>
      </c>
      <c r="B5" s="25" t="inlineStr">
        <is>
          <t>Quản lý và theo dõi liệu trình: mục tiêu, quy trình, lịch thực hiện, số buổi đã dùng/còn lại; lịch sử sử dụng dịch vụ</t>
        </is>
      </c>
      <c r="C5" s="25" t="inlineStr">
        <is>
          <t>UC-SPA-18, UC-SPA-19, UC-SPA-20, UC-SPA-21</t>
        </is>
      </c>
      <c r="D5" s="24" t="n">
        <v>4</v>
      </c>
      <c r="E5" s="24">
        <f>IF(D5&gt;0,"Đã phủ","CHƯA PHỦ")</f>
        <v/>
      </c>
    </row>
    <row r="6">
      <c r="A6" s="26" t="inlineStr">
        <is>
          <t>MT-2</t>
        </is>
      </c>
      <c r="B6" s="27" t="inlineStr">
        <is>
          <t>Trợ lý AI tìm kiếm/đề xuất dịch vụ theo nhu cầu, giải đáp dịch vụ, giá, lịch hẹn, số buổi còn lại; không chẩn đoán y khoa</t>
        </is>
      </c>
      <c r="C6" s="27" t="inlineStr">
        <is>
          <t>UC-SPA-32, UC-SPA-06</t>
        </is>
      </c>
      <c r="D6" s="26" t="n">
        <v>2</v>
      </c>
      <c r="E6" s="26">
        <f>IF(D6&gt;0,"Đã phủ","CHƯA PHỦ")</f>
        <v/>
      </c>
    </row>
    <row r="7">
      <c r="A7" s="24" t="inlineStr">
        <is>
          <t>MT-3</t>
        </is>
      </c>
      <c r="B7" s="25" t="inlineStr">
        <is>
          <t>Thuật toán quản lý và tối ưu lịch hẹn: kiểm tra hợp lệ, xác định thời gian trống, sắp xếp lịch, ngăn trùng lịch khách hàng – nhân viên</t>
        </is>
      </c>
      <c r="C7" s="25" t="inlineStr">
        <is>
          <t>UC-SPA-15, UC-SPA-16, UC-SPA-17, UC-SPA-23</t>
        </is>
      </c>
      <c r="D7" s="24" t="n">
        <v>4</v>
      </c>
      <c r="E7" s="24">
        <f>IF(D7&gt;0,"Đã phủ","CHƯA PHỦ")</f>
        <v/>
      </c>
    </row>
    <row r="8">
      <c r="A8" s="26" t="inlineStr">
        <is>
          <t>MT-4</t>
        </is>
      </c>
      <c r="B8" s="27" t="inlineStr">
        <is>
          <t>Quản trị cho chủ spa: nhân viên, phân công lịch làm việc; dịch vụ, gói, khuyến mãi; lịch hẹn, liệu trình, lịch sử sử dụng dịch vụ</t>
        </is>
      </c>
      <c r="C8" s="27" t="inlineStr">
        <is>
          <t>UC-SPA-05, UC-SPA-09, UC-SPA-13, UC-SPA-14, UC-SPA-17, UC-SPA-21, UC-SPA-22, UC-SPA-23, UC-SPA-31</t>
        </is>
      </c>
      <c r="D8" s="26" t="n">
        <v>9</v>
      </c>
      <c r="E8" s="26">
        <f>IF(D8&gt;0,"Đã phủ","CHƯA PHỦ")</f>
        <v/>
      </c>
    </row>
    <row r="9">
      <c r="A9" s="24" t="inlineStr">
        <is>
          <t>MT-5</t>
        </is>
      </c>
      <c r="B9" s="25" t="inlineStr">
        <is>
          <t>Thống kê, báo cáo, trực quan hóa doanh thu theo tháng, quý, năm</t>
        </is>
      </c>
      <c r="C9" s="25" t="inlineStr">
        <is>
          <t>UC-SPA-33</t>
        </is>
      </c>
      <c r="D9" s="24" t="n">
        <v>1</v>
      </c>
      <c r="E9" s="24">
        <f>IF(D9&gt;0,"Đã phủ","CHƯA PHỦ")</f>
        <v/>
      </c>
    </row>
    <row r="10">
      <c r="A10" s="26" t="inlineStr">
        <is>
          <t>KS</t>
        </is>
      </c>
      <c r="B10" s="27" t="inlineStr">
        <is>
          <t>Chức năng trọng tâm từ khảo sát người dùng: đăng ký, đăng nhập, tra cứu, AI, đặt lịch, thanh toán &amp; khuyến mãi, liệu trình, đánh giá, nhân viên, lịch hẹn, báo cáo</t>
        </is>
      </c>
      <c r="C10" s="27" t="inlineStr">
        <is>
          <t>UC-SPA-01, UC-SPA-02, UC-SPA-06, UC-SPA-11, UC-SPA-15, UC-SPA-19, UC-SPA-30</t>
        </is>
      </c>
      <c r="D10" s="26" t="n">
        <v>7</v>
      </c>
      <c r="E10" s="26">
        <f>IF(D10&gt;0,"Đã phủ","CHƯA PHỦ")</f>
        <v/>
      </c>
    </row>
  </sheetData>
  <autoFilter ref="A4:E10"/>
  <mergeCells count="3">
    <mergeCell ref="A2:E2"/>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2026-10-25T05:33:37Z</dcterms:created>
  <dcterms:modified xmlns:dcterms="http://purl.org/dc/terms/" xmlns:xsi="http://www.w3.org/2001/XMLSchema-instance" xsi:type="dcterms:W3CDTF">2026-10-25T05:33:38Z</dcterms:modified>
</cp:coreProperties>
</file>